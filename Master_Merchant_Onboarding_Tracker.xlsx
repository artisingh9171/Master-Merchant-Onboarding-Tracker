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hant Dashboard" sheetId="1" r:id="rId5"/>
    <sheet state="visible" name="📊 KPI Metrics &amp; Visual Dashboa" sheetId="2" r:id="rId6"/>
  </sheets>
  <definedNames>
    <definedName hidden="1" localSheetId="0" name="_xlnm._FilterDatabase">'Merchant Dashboard'!$A$2:$N$502</definedName>
  </definedNames>
  <calcPr/>
</workbook>
</file>

<file path=xl/sharedStrings.xml><?xml version="1.0" encoding="utf-8"?>
<sst xmlns="http://schemas.openxmlformats.org/spreadsheetml/2006/main" count="5318" uniqueCount="1342">
  <si>
    <t>Business Details</t>
  </si>
  <si>
    <t>Merchant Details</t>
  </si>
  <si>
    <t>Business Status</t>
  </si>
  <si>
    <t>Date</t>
  </si>
  <si>
    <t>Additional Comments</t>
  </si>
  <si>
    <t>Executive</t>
  </si>
  <si>
    <t>Merchant ID</t>
  </si>
  <si>
    <t>Business Name</t>
  </si>
  <si>
    <t>Seller Name</t>
  </si>
  <si>
    <t>Business Category</t>
  </si>
  <si>
    <t>Risk Level</t>
  </si>
  <si>
    <t>Contact No</t>
  </si>
  <si>
    <t>Email ID</t>
  </si>
  <si>
    <t>Stage</t>
  </si>
  <si>
    <t>Registration Status</t>
  </si>
  <si>
    <t>Submission Date</t>
  </si>
  <si>
    <t>Approval Date</t>
  </si>
  <si>
    <t>Onboarding Days</t>
  </si>
  <si>
    <t>Delay Alert</t>
  </si>
  <si>
    <t>Karan</t>
  </si>
  <si>
    <t>M0001</t>
  </si>
  <si>
    <t>Smart Hub</t>
  </si>
  <si>
    <t>Amit Gupta</t>
  </si>
  <si>
    <t>Footwear</t>
  </si>
  <si>
    <t>Low</t>
  </si>
  <si>
    <t>9829666443</t>
  </si>
  <si>
    <t>amitgupta@example.com</t>
  </si>
  <si>
    <t>Document Review</t>
  </si>
  <si>
    <t>Pending</t>
  </si>
  <si>
    <t>AT RISK</t>
  </si>
  <si>
    <t>Neha</t>
  </si>
  <si>
    <t>M0002</t>
  </si>
  <si>
    <t>Trend Kart</t>
  </si>
  <si>
    <t>Arjun Reddy</t>
  </si>
  <si>
    <t>Lingerie and Sleepwear</t>
  </si>
  <si>
    <t>High</t>
  </si>
  <si>
    <t>9237732234</t>
  </si>
  <si>
    <t>arjunreddy@example.com</t>
  </si>
  <si>
    <t>Compliance Check</t>
  </si>
  <si>
    <t>Approved</t>
  </si>
  <si>
    <t>Rahul</t>
  </si>
  <si>
    <t>M0003</t>
  </si>
  <si>
    <t>Dream Store</t>
  </si>
  <si>
    <t>Rahul Nair</t>
  </si>
  <si>
    <t>Accessories</t>
  </si>
  <si>
    <t>Medium</t>
  </si>
  <si>
    <t>9641716187</t>
  </si>
  <si>
    <t>rahulnair@example.com</t>
  </si>
  <si>
    <t>Rejected</t>
  </si>
  <si>
    <t>M0004</t>
  </si>
  <si>
    <t>Prime Collection</t>
  </si>
  <si>
    <t>Priya Gupta</t>
  </si>
  <si>
    <t>Home and Living</t>
  </si>
  <si>
    <t>9599216711</t>
  </si>
  <si>
    <t>priyagupta@example.com</t>
  </si>
  <si>
    <t>Final Approval</t>
  </si>
  <si>
    <t>M0005</t>
  </si>
  <si>
    <t>Prime World</t>
  </si>
  <si>
    <t>Riya Sharma</t>
  </si>
  <si>
    <t>Gadgets</t>
  </si>
  <si>
    <t>9572300775</t>
  </si>
  <si>
    <t>riyasharma@example.com</t>
  </si>
  <si>
    <t>Sneha</t>
  </si>
  <si>
    <t>M0006</t>
  </si>
  <si>
    <t>Glow Bazaar</t>
  </si>
  <si>
    <t>Rahul Reddy</t>
  </si>
  <si>
    <t>9166079756</t>
  </si>
  <si>
    <t>rahulreddy@example.com</t>
  </si>
  <si>
    <t>M0007</t>
  </si>
  <si>
    <t>Smart Collection</t>
  </si>
  <si>
    <t>Anita Das</t>
  </si>
  <si>
    <t>Beauty and Personal Care</t>
  </si>
  <si>
    <t>9286350678</t>
  </si>
  <si>
    <t>anitadas@example.com</t>
  </si>
  <si>
    <t>M0008</t>
  </si>
  <si>
    <t>Vikas Reddy</t>
  </si>
  <si>
    <t>9496412732</t>
  </si>
  <si>
    <t>vikasreddy@example.com</t>
  </si>
  <si>
    <t>M0009</t>
  </si>
  <si>
    <t>Smart Mart</t>
  </si>
  <si>
    <t>Rahul Patel</t>
  </si>
  <si>
    <t>Jewellery</t>
  </si>
  <si>
    <t>9624751727</t>
  </si>
  <si>
    <t>rahulpatel@example.com</t>
  </si>
  <si>
    <t>M0010</t>
  </si>
  <si>
    <t>Dream Zone</t>
  </si>
  <si>
    <t>Anita Gupta</t>
  </si>
  <si>
    <t>9174835913</t>
  </si>
  <si>
    <t>anitagupta@example.com</t>
  </si>
  <si>
    <t>M0011</t>
  </si>
  <si>
    <t>Style Zone</t>
  </si>
  <si>
    <t>Karan Nair</t>
  </si>
  <si>
    <t>9804667173</t>
  </si>
  <si>
    <t>karannair@example.com</t>
  </si>
  <si>
    <t>M0012</t>
  </si>
  <si>
    <t>Active Bazaar</t>
  </si>
  <si>
    <t>Anita Reddy</t>
  </si>
  <si>
    <t>Bags and Luggage</t>
  </si>
  <si>
    <t>9705536955</t>
  </si>
  <si>
    <t>anitareddy@example.com</t>
  </si>
  <si>
    <t>M0013</t>
  </si>
  <si>
    <t>Trend Zone</t>
  </si>
  <si>
    <t>Arjun Nair</t>
  </si>
  <si>
    <t>9874713062</t>
  </si>
  <si>
    <t>arjunnair@example.com</t>
  </si>
  <si>
    <t>M0014</t>
  </si>
  <si>
    <t>Nova World</t>
  </si>
  <si>
    <t>Priya Mehta</t>
  </si>
  <si>
    <t>9293645211</t>
  </si>
  <si>
    <t>priyamehta@example.com</t>
  </si>
  <si>
    <t>M0015</t>
  </si>
  <si>
    <t>Style Store</t>
  </si>
  <si>
    <t>Riya Das</t>
  </si>
  <si>
    <t>9692232530</t>
  </si>
  <si>
    <t>riyadas@example.com</t>
  </si>
  <si>
    <t>Arti</t>
  </si>
  <si>
    <t>M0016</t>
  </si>
  <si>
    <t>Glow Hub</t>
  </si>
  <si>
    <t>Sports and Activewear</t>
  </si>
  <si>
    <t>9409385375</t>
  </si>
  <si>
    <t>M0017</t>
  </si>
  <si>
    <t>Urban Zone</t>
  </si>
  <si>
    <t>Riya Verma</t>
  </si>
  <si>
    <t>9731255780</t>
  </si>
  <si>
    <t>riyaverma@example.com</t>
  </si>
  <si>
    <t>OVERDUE</t>
  </si>
  <si>
    <t>M0018</t>
  </si>
  <si>
    <t>Style Kart</t>
  </si>
  <si>
    <t>Neha Iyer</t>
  </si>
  <si>
    <t>9125790943</t>
  </si>
  <si>
    <t>nehaiyer@example.com</t>
  </si>
  <si>
    <t>M0019</t>
  </si>
  <si>
    <t>Nova Store</t>
  </si>
  <si>
    <t>9252085185</t>
  </si>
  <si>
    <t>M0020</t>
  </si>
  <si>
    <t>Trend Hub</t>
  </si>
  <si>
    <t>Priya Singh</t>
  </si>
  <si>
    <t>9491883073</t>
  </si>
  <si>
    <t>priyasingh@example.com</t>
  </si>
  <si>
    <t>M0021</t>
  </si>
  <si>
    <t>Dream Bazaar</t>
  </si>
  <si>
    <t>9198389930</t>
  </si>
  <si>
    <t>M0022</t>
  </si>
  <si>
    <t>Urban Hub</t>
  </si>
  <si>
    <t>9564213163</t>
  </si>
  <si>
    <t>M0023</t>
  </si>
  <si>
    <t>Prime Zone</t>
  </si>
  <si>
    <t>Vikas Verma</t>
  </si>
  <si>
    <t>9528182317</t>
  </si>
  <si>
    <t>vikasverma@example.com</t>
  </si>
  <si>
    <t>M0024</t>
  </si>
  <si>
    <t>Active Store</t>
  </si>
  <si>
    <t>Amit Sharma</t>
  </si>
  <si>
    <t>9862029191</t>
  </si>
  <si>
    <t>amitsharma@example.com</t>
  </si>
  <si>
    <t>M0025</t>
  </si>
  <si>
    <t>Karan Mehta</t>
  </si>
  <si>
    <t>9452230663</t>
  </si>
  <si>
    <t>karanmehta@example.com</t>
  </si>
  <si>
    <t>M0026</t>
  </si>
  <si>
    <t>Active Zone</t>
  </si>
  <si>
    <t>Sneha Iyer</t>
  </si>
  <si>
    <t>9159473516</t>
  </si>
  <si>
    <t>snehaiyer@example.com</t>
  </si>
  <si>
    <t>M0027</t>
  </si>
  <si>
    <t>Dream Mart</t>
  </si>
  <si>
    <t>Rahul Verma</t>
  </si>
  <si>
    <t>9243077903</t>
  </si>
  <si>
    <t>rahulverma@example.com</t>
  </si>
  <si>
    <t>M0028</t>
  </si>
  <si>
    <t>Smart Store</t>
  </si>
  <si>
    <t>Amit Mehta</t>
  </si>
  <si>
    <t>9987651484</t>
  </si>
  <si>
    <t>amitmehta@example.com</t>
  </si>
  <si>
    <t>M0029</t>
  </si>
  <si>
    <t>Glow World</t>
  </si>
  <si>
    <t>9126586846</t>
  </si>
  <si>
    <t>M0030</t>
  </si>
  <si>
    <t>Nova Bazaar</t>
  </si>
  <si>
    <t>Priya Verma</t>
  </si>
  <si>
    <t>9540490883</t>
  </si>
  <si>
    <t>priyaverma@example.com</t>
  </si>
  <si>
    <t>M0031</t>
  </si>
  <si>
    <t>9188132607</t>
  </si>
  <si>
    <t>M0032</t>
  </si>
  <si>
    <t>Sneha Sharma</t>
  </si>
  <si>
    <t>Apparel</t>
  </si>
  <si>
    <t>9450861206</t>
  </si>
  <si>
    <t>snehasharma@example.com</t>
  </si>
  <si>
    <t>M0033</t>
  </si>
  <si>
    <t>Nova Kart</t>
  </si>
  <si>
    <t>Anita Patel</t>
  </si>
  <si>
    <t>9752617811</t>
  </si>
  <si>
    <t>anitapatel@example.com</t>
  </si>
  <si>
    <t>M0034</t>
  </si>
  <si>
    <t>Urban Kart</t>
  </si>
  <si>
    <t>Sneha Singh</t>
  </si>
  <si>
    <t>9285065237</t>
  </si>
  <si>
    <t>snehasingh@example.com</t>
  </si>
  <si>
    <t>M0035</t>
  </si>
  <si>
    <t>Style Mart</t>
  </si>
  <si>
    <t>9224045794</t>
  </si>
  <si>
    <t>M0036</t>
  </si>
  <si>
    <t>Dream Collection</t>
  </si>
  <si>
    <t>Vikas Singh</t>
  </si>
  <si>
    <t>9758312904</t>
  </si>
  <si>
    <t>vikassingh@example.com</t>
  </si>
  <si>
    <t>M0037</t>
  </si>
  <si>
    <t>Karan Iyer</t>
  </si>
  <si>
    <t>9185097287</t>
  </si>
  <si>
    <t>karaniyer@example.com</t>
  </si>
  <si>
    <t>M0038</t>
  </si>
  <si>
    <t>Active Kart</t>
  </si>
  <si>
    <t>9835837552</t>
  </si>
  <si>
    <t>M0039</t>
  </si>
  <si>
    <t>Trend Bazaar</t>
  </si>
  <si>
    <t>9739742964</t>
  </si>
  <si>
    <t>M0040</t>
  </si>
  <si>
    <t>Active Collection</t>
  </si>
  <si>
    <t>Anita Nair</t>
  </si>
  <si>
    <t>9769507948</t>
  </si>
  <si>
    <t>anitanair@example.com</t>
  </si>
  <si>
    <t>M0041</t>
  </si>
  <si>
    <t>Karan Singh</t>
  </si>
  <si>
    <t>9554389687</t>
  </si>
  <si>
    <t>karansingh@example.com</t>
  </si>
  <si>
    <t>M0042</t>
  </si>
  <si>
    <t>Urban Mart</t>
  </si>
  <si>
    <t>9941021198</t>
  </si>
  <si>
    <t>M0043</t>
  </si>
  <si>
    <t>Rahul Iyer</t>
  </si>
  <si>
    <t>9232245564</t>
  </si>
  <si>
    <t>rahuliyer@example.com</t>
  </si>
  <si>
    <t>M0044</t>
  </si>
  <si>
    <t>Prime Mart</t>
  </si>
  <si>
    <t>Riya Nair</t>
  </si>
  <si>
    <t>9415355623</t>
  </si>
  <si>
    <t>riyanair@example.com</t>
  </si>
  <si>
    <t>M0045</t>
  </si>
  <si>
    <t>Trend World</t>
  </si>
  <si>
    <t>Neha Reddy</t>
  </si>
  <si>
    <t>9328006918</t>
  </si>
  <si>
    <t>nehareddy@example.com</t>
  </si>
  <si>
    <t>M0046</t>
  </si>
  <si>
    <t>Dream World</t>
  </si>
  <si>
    <t>Vikas Sharma</t>
  </si>
  <si>
    <t>9927471769</t>
  </si>
  <si>
    <t>vikassharma@example.com</t>
  </si>
  <si>
    <t>M0047</t>
  </si>
  <si>
    <t>9287893008</t>
  </si>
  <si>
    <t>M0048</t>
  </si>
  <si>
    <t>Prime Kart</t>
  </si>
  <si>
    <t>Arjun Sharma</t>
  </si>
  <si>
    <t>9143211466</t>
  </si>
  <si>
    <t>arjunsharma@example.com</t>
  </si>
  <si>
    <t>M0049</t>
  </si>
  <si>
    <t>9200678342</t>
  </si>
  <si>
    <t>M0050</t>
  </si>
  <si>
    <t>Trend Collection</t>
  </si>
  <si>
    <t>Vikas Nair</t>
  </si>
  <si>
    <t>9350183242</t>
  </si>
  <si>
    <t>vikasnair@example.com</t>
  </si>
  <si>
    <t>M0051</t>
  </si>
  <si>
    <t>Elite World</t>
  </si>
  <si>
    <t>Amit Patel</t>
  </si>
  <si>
    <t>9266340489</t>
  </si>
  <si>
    <t>amitpatel@example.com</t>
  </si>
  <si>
    <t>M0052</t>
  </si>
  <si>
    <t>Neha Sharma</t>
  </si>
  <si>
    <t>9934054567</t>
  </si>
  <si>
    <t>nehasharma@example.com</t>
  </si>
  <si>
    <t>M0053</t>
  </si>
  <si>
    <t>Riya Gupta</t>
  </si>
  <si>
    <t>9229044812</t>
  </si>
  <si>
    <t>riyagupta@example.com</t>
  </si>
  <si>
    <t>M0054</t>
  </si>
  <si>
    <t>Elite Mart</t>
  </si>
  <si>
    <t>Anita Iyer</t>
  </si>
  <si>
    <t>9897400817</t>
  </si>
  <si>
    <t>anitaiyer@example.com</t>
  </si>
  <si>
    <t>M0055</t>
  </si>
  <si>
    <t>Anita Mehta</t>
  </si>
  <si>
    <t>9873691338</t>
  </si>
  <si>
    <t>anitamehta@example.com</t>
  </si>
  <si>
    <t>M0056</t>
  </si>
  <si>
    <t>Active World</t>
  </si>
  <si>
    <t>Riya Mehta</t>
  </si>
  <si>
    <t>9849770644</t>
  </si>
  <si>
    <t>riyamehta@example.com</t>
  </si>
  <si>
    <t>M0057</t>
  </si>
  <si>
    <t>Smart World</t>
  </si>
  <si>
    <t>Neha Verma</t>
  </si>
  <si>
    <t>9381916817</t>
  </si>
  <si>
    <t>nehaverma@example.com</t>
  </si>
  <si>
    <t>M0058</t>
  </si>
  <si>
    <t>Trend Store</t>
  </si>
  <si>
    <t>9402356337</t>
  </si>
  <si>
    <t>M0059</t>
  </si>
  <si>
    <t>Anita Verma</t>
  </si>
  <si>
    <t>9345365646</t>
  </si>
  <si>
    <t>anitaverma@example.com</t>
  </si>
  <si>
    <t>M0060</t>
  </si>
  <si>
    <t>Priya Patel</t>
  </si>
  <si>
    <t>9522009513</t>
  </si>
  <si>
    <t>priyapatel@example.com</t>
  </si>
  <si>
    <t>M0061</t>
  </si>
  <si>
    <t>9663745763</t>
  </si>
  <si>
    <t>M0062</t>
  </si>
  <si>
    <t>9279094707</t>
  </si>
  <si>
    <t>M0063</t>
  </si>
  <si>
    <t>Arjun Singh</t>
  </si>
  <si>
    <t>9852495432</t>
  </si>
  <si>
    <t>arjunsingh@example.com</t>
  </si>
  <si>
    <t>M0064</t>
  </si>
  <si>
    <t>Vikas Patel</t>
  </si>
  <si>
    <t>9745839863</t>
  </si>
  <si>
    <t>vikaspatel@example.com</t>
  </si>
  <si>
    <t>M0065</t>
  </si>
  <si>
    <t>Urban Store</t>
  </si>
  <si>
    <t>Rahul Sharma</t>
  </si>
  <si>
    <t>9562497334</t>
  </si>
  <si>
    <t>rahulsharma@example.com</t>
  </si>
  <si>
    <t>M0066</t>
  </si>
  <si>
    <t>Dream Kart</t>
  </si>
  <si>
    <t>Arjun Gupta</t>
  </si>
  <si>
    <t>9541191882</t>
  </si>
  <si>
    <t>arjungupta@example.com</t>
  </si>
  <si>
    <t>M0067</t>
  </si>
  <si>
    <t>Elite Collection</t>
  </si>
  <si>
    <t>Karan Verma</t>
  </si>
  <si>
    <t>9993199541</t>
  </si>
  <si>
    <t>karanverma@example.com</t>
  </si>
  <si>
    <t>M0068</t>
  </si>
  <si>
    <t>Elite Store</t>
  </si>
  <si>
    <t>Neha Mehta</t>
  </si>
  <si>
    <t>9587969343</t>
  </si>
  <si>
    <t>nehamehta@example.com</t>
  </si>
  <si>
    <t>M0069</t>
  </si>
  <si>
    <t>Nova Collection</t>
  </si>
  <si>
    <t>Priya Das</t>
  </si>
  <si>
    <t>9447695817</t>
  </si>
  <si>
    <t>priyadas@example.com</t>
  </si>
  <si>
    <t>M0070</t>
  </si>
  <si>
    <t>Nova Mart</t>
  </si>
  <si>
    <t>9739309813</t>
  </si>
  <si>
    <t>M0071</t>
  </si>
  <si>
    <t>Vikas Gupta</t>
  </si>
  <si>
    <t>9322040941</t>
  </si>
  <si>
    <t>vikasgupta@example.com</t>
  </si>
  <si>
    <t>M0072</t>
  </si>
  <si>
    <t>Priya Reddy</t>
  </si>
  <si>
    <t>9662632232</t>
  </si>
  <si>
    <t>priyareddy@example.com</t>
  </si>
  <si>
    <t>M0073</t>
  </si>
  <si>
    <t>Prime Bazaar</t>
  </si>
  <si>
    <t>9806998104</t>
  </si>
  <si>
    <t>M0074</t>
  </si>
  <si>
    <t>Riya Iyer</t>
  </si>
  <si>
    <t>9850804026</t>
  </si>
  <si>
    <t>riyaiyer@example.com</t>
  </si>
  <si>
    <t>M0075</t>
  </si>
  <si>
    <t>9354358113</t>
  </si>
  <si>
    <t>M0076</t>
  </si>
  <si>
    <t>Style World</t>
  </si>
  <si>
    <t>9372325855</t>
  </si>
  <si>
    <t>M0077</t>
  </si>
  <si>
    <t>9652809484</t>
  </si>
  <si>
    <t>M0078</t>
  </si>
  <si>
    <t>Elite Bazaar</t>
  </si>
  <si>
    <t>Arjun Patel</t>
  </si>
  <si>
    <t>9315244023</t>
  </si>
  <si>
    <t>arjunpatel@example.com</t>
  </si>
  <si>
    <t>M0079</t>
  </si>
  <si>
    <t>9197418456</t>
  </si>
  <si>
    <t>M0080</t>
  </si>
  <si>
    <t>9607275208</t>
  </si>
  <si>
    <t>M0081</t>
  </si>
  <si>
    <t>Priya Iyer</t>
  </si>
  <si>
    <t>9905746411</t>
  </si>
  <si>
    <t>priyaiyer@example.com</t>
  </si>
  <si>
    <t>M0082</t>
  </si>
  <si>
    <t>Glow Kart</t>
  </si>
  <si>
    <t>Rahul Gupta</t>
  </si>
  <si>
    <t>9800617156</t>
  </si>
  <si>
    <t>rahulgupta@example.com</t>
  </si>
  <si>
    <t>M0083</t>
  </si>
  <si>
    <t>Active Hub</t>
  </si>
  <si>
    <t>Karan Reddy</t>
  </si>
  <si>
    <t>9534397898</t>
  </si>
  <si>
    <t>karanreddy@example.com</t>
  </si>
  <si>
    <t>M0084</t>
  </si>
  <si>
    <t>Rahul Singh</t>
  </si>
  <si>
    <t>9782057216</t>
  </si>
  <si>
    <t>rahulsingh@example.com</t>
  </si>
  <si>
    <t>M0085</t>
  </si>
  <si>
    <t>Neha Nair</t>
  </si>
  <si>
    <t>9388341948</t>
  </si>
  <si>
    <t>nehanair@example.com</t>
  </si>
  <si>
    <t>M0086</t>
  </si>
  <si>
    <t>Nova Zone</t>
  </si>
  <si>
    <t>Arjun Mehta</t>
  </si>
  <si>
    <t>9660014775</t>
  </si>
  <si>
    <t>arjunmehta@example.com</t>
  </si>
  <si>
    <t>M0087</t>
  </si>
  <si>
    <t>Riya Patel</t>
  </si>
  <si>
    <t>9535109597</t>
  </si>
  <si>
    <t>riyapatel@example.com</t>
  </si>
  <si>
    <t>M0088</t>
  </si>
  <si>
    <t>9827163010</t>
  </si>
  <si>
    <t>M0089</t>
  </si>
  <si>
    <t>Glow Store</t>
  </si>
  <si>
    <t>9300231963</t>
  </si>
  <si>
    <t>M0090</t>
  </si>
  <si>
    <t>9536881165</t>
  </si>
  <si>
    <t>M0091</t>
  </si>
  <si>
    <t>9243698423</t>
  </si>
  <si>
    <t>M0092</t>
  </si>
  <si>
    <t>Smart Kart</t>
  </si>
  <si>
    <t>9640167272</t>
  </si>
  <si>
    <t>M0093</t>
  </si>
  <si>
    <t>Neha Gupta</t>
  </si>
  <si>
    <t>9784322701</t>
  </si>
  <si>
    <t>nehagupta@example.com</t>
  </si>
  <si>
    <t>M0094</t>
  </si>
  <si>
    <t>Sneha Mehta</t>
  </si>
  <si>
    <t>9451119551</t>
  </si>
  <si>
    <t>snehamehta@example.com</t>
  </si>
  <si>
    <t>M0095</t>
  </si>
  <si>
    <t>Vikas Das</t>
  </si>
  <si>
    <t>9605452747</t>
  </si>
  <si>
    <t>vikasdas@example.com</t>
  </si>
  <si>
    <t>M0096</t>
  </si>
  <si>
    <t>9378860639</t>
  </si>
  <si>
    <t>M0097</t>
  </si>
  <si>
    <t>9987536611</t>
  </si>
  <si>
    <t>M0098</t>
  </si>
  <si>
    <t>9345740891</t>
  </si>
  <si>
    <t>M0099</t>
  </si>
  <si>
    <t>Karan Das</t>
  </si>
  <si>
    <t>9834904165</t>
  </si>
  <si>
    <t>karandas@example.com</t>
  </si>
  <si>
    <t>M0100</t>
  </si>
  <si>
    <t>9488843482</t>
  </si>
  <si>
    <t>M0101</t>
  </si>
  <si>
    <t>Amit Nair</t>
  </si>
  <si>
    <t>9905192365</t>
  </si>
  <si>
    <t>amitnair@example.com</t>
  </si>
  <si>
    <t>M0102</t>
  </si>
  <si>
    <t>Sneha Reddy</t>
  </si>
  <si>
    <t>9944528168</t>
  </si>
  <si>
    <t>snehareddy@example.com</t>
  </si>
  <si>
    <t>M0103</t>
  </si>
  <si>
    <t>Vikas Iyer</t>
  </si>
  <si>
    <t>9287241974</t>
  </si>
  <si>
    <t>vikasiyer@example.com</t>
  </si>
  <si>
    <t>M0104</t>
  </si>
  <si>
    <t>9557341878</t>
  </si>
  <si>
    <t>M0105</t>
  </si>
  <si>
    <t>Elite Kart</t>
  </si>
  <si>
    <t>9383183305</t>
  </si>
  <si>
    <t>M0106</t>
  </si>
  <si>
    <t>Neha Singh</t>
  </si>
  <si>
    <t>9732734413</t>
  </si>
  <si>
    <t>nehasingh@example.com</t>
  </si>
  <si>
    <t>M0107</t>
  </si>
  <si>
    <t>Sneha Patel</t>
  </si>
  <si>
    <t>9423683483</t>
  </si>
  <si>
    <t>snehapatel@example.com</t>
  </si>
  <si>
    <t>M0108</t>
  </si>
  <si>
    <t>9768798762</t>
  </si>
  <si>
    <t>M0109</t>
  </si>
  <si>
    <t>9171251948</t>
  </si>
  <si>
    <t>M0110</t>
  </si>
  <si>
    <t>9999283618</t>
  </si>
  <si>
    <t>M0111</t>
  </si>
  <si>
    <t>9412838396</t>
  </si>
  <si>
    <t>M0112</t>
  </si>
  <si>
    <t>Neha Patel</t>
  </si>
  <si>
    <t>9413973585</t>
  </si>
  <si>
    <t>nehapatel@example.com</t>
  </si>
  <si>
    <t>M0113</t>
  </si>
  <si>
    <t>9795592713</t>
  </si>
  <si>
    <t>M0114</t>
  </si>
  <si>
    <t>9110521664</t>
  </si>
  <si>
    <t>M0115</t>
  </si>
  <si>
    <t>9666306092</t>
  </si>
  <si>
    <t>M0116</t>
  </si>
  <si>
    <t>9734941386</t>
  </si>
  <si>
    <t>M0117</t>
  </si>
  <si>
    <t>Prime Store</t>
  </si>
  <si>
    <t>Vikas Mehta</t>
  </si>
  <si>
    <t>9749828703</t>
  </si>
  <si>
    <t>vikasmehta@example.com</t>
  </si>
  <si>
    <t>M0118</t>
  </si>
  <si>
    <t>Sneha Gupta</t>
  </si>
  <si>
    <t>9767598323</t>
  </si>
  <si>
    <t>snehagupta@example.com</t>
  </si>
  <si>
    <t>M0119</t>
  </si>
  <si>
    <t>9906785733</t>
  </si>
  <si>
    <t>M0120</t>
  </si>
  <si>
    <t>Karan Gupta</t>
  </si>
  <si>
    <t>9677086314</t>
  </si>
  <si>
    <t>karangupta@example.com</t>
  </si>
  <si>
    <t>M0121</t>
  </si>
  <si>
    <t>Priya Sharma</t>
  </si>
  <si>
    <t>9261721537</t>
  </si>
  <si>
    <t>priyasharma@example.com</t>
  </si>
  <si>
    <t>M0122</t>
  </si>
  <si>
    <t>Karan Sharma</t>
  </si>
  <si>
    <t>9932263974</t>
  </si>
  <si>
    <t>karansharma@example.com</t>
  </si>
  <si>
    <t>M0123</t>
  </si>
  <si>
    <t>9540073783</t>
  </si>
  <si>
    <t>M0124</t>
  </si>
  <si>
    <t>9640382406</t>
  </si>
  <si>
    <t>M0125</t>
  </si>
  <si>
    <t>Arjun Verma</t>
  </si>
  <si>
    <t>9751825870</t>
  </si>
  <si>
    <t>arjunverma@example.com</t>
  </si>
  <si>
    <t>M0126</t>
  </si>
  <si>
    <t>Style Hub</t>
  </si>
  <si>
    <t>9762939168</t>
  </si>
  <si>
    <t>M0127</t>
  </si>
  <si>
    <t>9996668045</t>
  </si>
  <si>
    <t>M0128</t>
  </si>
  <si>
    <t>9719424010</t>
  </si>
  <si>
    <t>M0129</t>
  </si>
  <si>
    <t>9524239817</t>
  </si>
  <si>
    <t>M0130</t>
  </si>
  <si>
    <t>9309496055</t>
  </si>
  <si>
    <t>M0131</t>
  </si>
  <si>
    <t>9320508188</t>
  </si>
  <si>
    <t>M0132</t>
  </si>
  <si>
    <t>9801196456</t>
  </si>
  <si>
    <t>M0133</t>
  </si>
  <si>
    <t>9282463447</t>
  </si>
  <si>
    <t>M0134</t>
  </si>
  <si>
    <t>9826495849</t>
  </si>
  <si>
    <t>M0135</t>
  </si>
  <si>
    <t>Anita Sharma</t>
  </si>
  <si>
    <t>9583684380</t>
  </si>
  <si>
    <t>anitasharma@example.com</t>
  </si>
  <si>
    <t>M0136</t>
  </si>
  <si>
    <t>9473785237</t>
  </si>
  <si>
    <t>M0137</t>
  </si>
  <si>
    <t>9648189794</t>
  </si>
  <si>
    <t>M0138</t>
  </si>
  <si>
    <t>9207823937</t>
  </si>
  <si>
    <t>M0139</t>
  </si>
  <si>
    <t>9740459587</t>
  </si>
  <si>
    <t>M0140</t>
  </si>
  <si>
    <t>Style Bazaar</t>
  </si>
  <si>
    <t>9269914174</t>
  </si>
  <si>
    <t>M0141</t>
  </si>
  <si>
    <t>Dream Hub</t>
  </si>
  <si>
    <t>Sneha Verma</t>
  </si>
  <si>
    <t>9699722497</t>
  </si>
  <si>
    <t>snehaverma@example.com</t>
  </si>
  <si>
    <t>M0142</t>
  </si>
  <si>
    <t>Anita Singh</t>
  </si>
  <si>
    <t>9993229003</t>
  </si>
  <si>
    <t>anitasingh@example.com</t>
  </si>
  <si>
    <t>M0143</t>
  </si>
  <si>
    <t>9934825185</t>
  </si>
  <si>
    <t>M0144</t>
  </si>
  <si>
    <t>Arjun Das</t>
  </si>
  <si>
    <t>9242968885</t>
  </si>
  <si>
    <t>arjundas@example.com</t>
  </si>
  <si>
    <t>M0145</t>
  </si>
  <si>
    <t>Elite Hub</t>
  </si>
  <si>
    <t>Rahul Das</t>
  </si>
  <si>
    <t>9869825600</t>
  </si>
  <si>
    <t>rahuldas@example.com</t>
  </si>
  <si>
    <t>M0146</t>
  </si>
  <si>
    <t>9876693271</t>
  </si>
  <si>
    <t>M0147</t>
  </si>
  <si>
    <t>9794634613</t>
  </si>
  <si>
    <t>M0148</t>
  </si>
  <si>
    <t>9387955075</t>
  </si>
  <si>
    <t>M0149</t>
  </si>
  <si>
    <t>9456428786</t>
  </si>
  <si>
    <t>M0150</t>
  </si>
  <si>
    <t>Riya Reddy</t>
  </si>
  <si>
    <t>9739189738</t>
  </si>
  <si>
    <t>riyareddy@example.com</t>
  </si>
  <si>
    <t>M0151</t>
  </si>
  <si>
    <t>Neha Das</t>
  </si>
  <si>
    <t>9793815883</t>
  </si>
  <si>
    <t>nehadas@example.com</t>
  </si>
  <si>
    <t>M0152</t>
  </si>
  <si>
    <t>9302190732</t>
  </si>
  <si>
    <t>M0153</t>
  </si>
  <si>
    <t>Amit Reddy</t>
  </si>
  <si>
    <t>9420999911</t>
  </si>
  <si>
    <t>amitreddy@example.com</t>
  </si>
  <si>
    <t>M0154</t>
  </si>
  <si>
    <t>9505592923</t>
  </si>
  <si>
    <t>M0155</t>
  </si>
  <si>
    <t>Rahul Mehta</t>
  </si>
  <si>
    <t>9948986119</t>
  </si>
  <si>
    <t>rahulmehta@example.com</t>
  </si>
  <si>
    <t>M0156</t>
  </si>
  <si>
    <t>9345933304</t>
  </si>
  <si>
    <t>M0157</t>
  </si>
  <si>
    <t>9641048856</t>
  </si>
  <si>
    <t>M0158</t>
  </si>
  <si>
    <t>9827578643</t>
  </si>
  <si>
    <t>M0159</t>
  </si>
  <si>
    <t>9698733914</t>
  </si>
  <si>
    <t>M0160</t>
  </si>
  <si>
    <t>9283864695</t>
  </si>
  <si>
    <t>M0161</t>
  </si>
  <si>
    <t>9423330304</t>
  </si>
  <si>
    <t>M0162</t>
  </si>
  <si>
    <t>9579384403</t>
  </si>
  <si>
    <t>M0163</t>
  </si>
  <si>
    <t>9196915888</t>
  </si>
  <si>
    <t>M0164</t>
  </si>
  <si>
    <t>9946098644</t>
  </si>
  <si>
    <t>M0165</t>
  </si>
  <si>
    <t>9308592421</t>
  </si>
  <si>
    <t>M0166</t>
  </si>
  <si>
    <t>9944352869</t>
  </si>
  <si>
    <t>M0167</t>
  </si>
  <si>
    <t>9801221951</t>
  </si>
  <si>
    <t>M0168</t>
  </si>
  <si>
    <t>9678362663</t>
  </si>
  <si>
    <t>M0169</t>
  </si>
  <si>
    <t>Prime Hub</t>
  </si>
  <si>
    <t>9928955978</t>
  </si>
  <si>
    <t>M0170</t>
  </si>
  <si>
    <t>9384823330</t>
  </si>
  <si>
    <t>M0171</t>
  </si>
  <si>
    <t>9798815941</t>
  </si>
  <si>
    <t>M0172</t>
  </si>
  <si>
    <t>9842394255</t>
  </si>
  <si>
    <t>M0173</t>
  </si>
  <si>
    <t>9122133364</t>
  </si>
  <si>
    <t>M0174</t>
  </si>
  <si>
    <t>9279930021</t>
  </si>
  <si>
    <t>M0175</t>
  </si>
  <si>
    <t>Style Collection</t>
  </si>
  <si>
    <t>9597286663</t>
  </si>
  <si>
    <t>M0176</t>
  </si>
  <si>
    <t>9927959056</t>
  </si>
  <si>
    <t>M0177</t>
  </si>
  <si>
    <t>9767067813</t>
  </si>
  <si>
    <t>M0178</t>
  </si>
  <si>
    <t>Active Mart</t>
  </si>
  <si>
    <t>9156931177</t>
  </si>
  <si>
    <t>M0179</t>
  </si>
  <si>
    <t>9754880945</t>
  </si>
  <si>
    <t>M0180</t>
  </si>
  <si>
    <t>9459969048</t>
  </si>
  <si>
    <t>M0181</t>
  </si>
  <si>
    <t>Glow Collection</t>
  </si>
  <si>
    <t>9597737167</t>
  </si>
  <si>
    <t>M0182</t>
  </si>
  <si>
    <t>9700537756</t>
  </si>
  <si>
    <t>M0183</t>
  </si>
  <si>
    <t>9884700996</t>
  </si>
  <si>
    <t>M0184</t>
  </si>
  <si>
    <t>9327602301</t>
  </si>
  <si>
    <t>M0185</t>
  </si>
  <si>
    <t>9397308376</t>
  </si>
  <si>
    <t>M0186</t>
  </si>
  <si>
    <t>9638498468</t>
  </si>
  <si>
    <t>M0187</t>
  </si>
  <si>
    <t>9138518931</t>
  </si>
  <si>
    <t>M0188</t>
  </si>
  <si>
    <t>9218778415</t>
  </si>
  <si>
    <t>M0189</t>
  </si>
  <si>
    <t>9729921261</t>
  </si>
  <si>
    <t>M0190</t>
  </si>
  <si>
    <t>9244825434</t>
  </si>
  <si>
    <t>M0191</t>
  </si>
  <si>
    <t>9213602650</t>
  </si>
  <si>
    <t>M0192</t>
  </si>
  <si>
    <t>9146276275</t>
  </si>
  <si>
    <t>M0193</t>
  </si>
  <si>
    <t>9446170361</t>
  </si>
  <si>
    <t>M0194</t>
  </si>
  <si>
    <t>9514582942</t>
  </si>
  <si>
    <t>M0195</t>
  </si>
  <si>
    <t>Riya Singh</t>
  </si>
  <si>
    <t>9752348473</t>
  </si>
  <si>
    <t>riyasingh@example.com</t>
  </si>
  <si>
    <t>M0196</t>
  </si>
  <si>
    <t>9724860119</t>
  </si>
  <si>
    <t>M0197</t>
  </si>
  <si>
    <t>9635353590</t>
  </si>
  <si>
    <t>M0198</t>
  </si>
  <si>
    <t>9778962442</t>
  </si>
  <si>
    <t>M0199</t>
  </si>
  <si>
    <t>9535319573</t>
  </si>
  <si>
    <t>M0200</t>
  </si>
  <si>
    <t>9569415884</t>
  </si>
  <si>
    <t>M0201</t>
  </si>
  <si>
    <t>9974483685</t>
  </si>
  <si>
    <t>M0202</t>
  </si>
  <si>
    <t>9599336365</t>
  </si>
  <si>
    <t>M0203</t>
  </si>
  <si>
    <t>9964482393</t>
  </si>
  <si>
    <t>M0204</t>
  </si>
  <si>
    <t>9522143824</t>
  </si>
  <si>
    <t>M0205</t>
  </si>
  <si>
    <t>9291014869</t>
  </si>
  <si>
    <t>M0206</t>
  </si>
  <si>
    <t>Elite Zone</t>
  </si>
  <si>
    <t>9911756859</t>
  </si>
  <si>
    <t>M0207</t>
  </si>
  <si>
    <t>9601539866</t>
  </si>
  <si>
    <t>M0208</t>
  </si>
  <si>
    <t>9176361307</t>
  </si>
  <si>
    <t>M0209</t>
  </si>
  <si>
    <t>9949595594</t>
  </si>
  <si>
    <t>M0210</t>
  </si>
  <si>
    <t>9435510362</t>
  </si>
  <si>
    <t>M0211</t>
  </si>
  <si>
    <t>9576557679</t>
  </si>
  <si>
    <t>M0212</t>
  </si>
  <si>
    <t>9232376988</t>
  </si>
  <si>
    <t>M0213</t>
  </si>
  <si>
    <t>9478531871</t>
  </si>
  <si>
    <t>M0214</t>
  </si>
  <si>
    <t>9428629558</t>
  </si>
  <si>
    <t>M0215</t>
  </si>
  <si>
    <t>9157373075</t>
  </si>
  <si>
    <t>M0216</t>
  </si>
  <si>
    <t>9109798253</t>
  </si>
  <si>
    <t>M0217</t>
  </si>
  <si>
    <t>Glow Mart</t>
  </si>
  <si>
    <t>9718812739</t>
  </si>
  <si>
    <t>M0218</t>
  </si>
  <si>
    <t>Amit Singh</t>
  </si>
  <si>
    <t>9931901348</t>
  </si>
  <si>
    <t>amitsingh@example.com</t>
  </si>
  <si>
    <t>M0219</t>
  </si>
  <si>
    <t>Smart Bazaar</t>
  </si>
  <si>
    <t>9860753778</t>
  </si>
  <si>
    <t>M0220</t>
  </si>
  <si>
    <t>9698850798</t>
  </si>
  <si>
    <t>M0221</t>
  </si>
  <si>
    <t>9989417319</t>
  </si>
  <si>
    <t>M0222</t>
  </si>
  <si>
    <t>Smart Zone</t>
  </si>
  <si>
    <t>9109248269</t>
  </si>
  <si>
    <t>M0223</t>
  </si>
  <si>
    <t>9300203026</t>
  </si>
  <si>
    <t>M0224</t>
  </si>
  <si>
    <t>9739464005</t>
  </si>
  <si>
    <t>M0225</t>
  </si>
  <si>
    <t>9149097623</t>
  </si>
  <si>
    <t>M0226</t>
  </si>
  <si>
    <t>9742356180</t>
  </si>
  <si>
    <t>M0227</t>
  </si>
  <si>
    <t>9338508588</t>
  </si>
  <si>
    <t>M0228</t>
  </si>
  <si>
    <t>9982049885</t>
  </si>
  <si>
    <t>M0229</t>
  </si>
  <si>
    <t>9173960309</t>
  </si>
  <si>
    <t>M0230</t>
  </si>
  <si>
    <t>9740297792</t>
  </si>
  <si>
    <t>M0231</t>
  </si>
  <si>
    <t>9729015460</t>
  </si>
  <si>
    <t>M0232</t>
  </si>
  <si>
    <t>9659340405</t>
  </si>
  <si>
    <t>M0233</t>
  </si>
  <si>
    <t>9529153577</t>
  </si>
  <si>
    <t>M0234</t>
  </si>
  <si>
    <t>9249925781</t>
  </si>
  <si>
    <t>M0235</t>
  </si>
  <si>
    <t>9601468650</t>
  </si>
  <si>
    <t>M0236</t>
  </si>
  <si>
    <t>9644304718</t>
  </si>
  <si>
    <t>M0237</t>
  </si>
  <si>
    <t>9452703876</t>
  </si>
  <si>
    <t>M0238</t>
  </si>
  <si>
    <t>9966082243</t>
  </si>
  <si>
    <t>M0239</t>
  </si>
  <si>
    <t>9875250832</t>
  </si>
  <si>
    <t>M0240</t>
  </si>
  <si>
    <t>9819106959</t>
  </si>
  <si>
    <t>M0241</t>
  </si>
  <si>
    <t>Priya Nair</t>
  </si>
  <si>
    <t>9245028689</t>
  </si>
  <si>
    <t>priyanair@example.com</t>
  </si>
  <si>
    <t>M0242</t>
  </si>
  <si>
    <t>9383968037</t>
  </si>
  <si>
    <t>M0243</t>
  </si>
  <si>
    <t>9370122491</t>
  </si>
  <si>
    <t>M0244</t>
  </si>
  <si>
    <t>Urban Collection</t>
  </si>
  <si>
    <t>9409378133</t>
  </si>
  <si>
    <t>M0245</t>
  </si>
  <si>
    <t>9207578059</t>
  </si>
  <si>
    <t>M0246</t>
  </si>
  <si>
    <t>Arjun Iyer</t>
  </si>
  <si>
    <t>9787460137</t>
  </si>
  <si>
    <t>arjuniyer@example.com</t>
  </si>
  <si>
    <t>M0247</t>
  </si>
  <si>
    <t>9764559020</t>
  </si>
  <si>
    <t>M0248</t>
  </si>
  <si>
    <t>9756670136</t>
  </si>
  <si>
    <t>M0249</t>
  </si>
  <si>
    <t>9237866717</t>
  </si>
  <si>
    <t>M0250</t>
  </si>
  <si>
    <t>Amit Verma</t>
  </si>
  <si>
    <t>9949694272</t>
  </si>
  <si>
    <t>amitverma@example.com</t>
  </si>
  <si>
    <t>M0251</t>
  </si>
  <si>
    <t>Urban World</t>
  </si>
  <si>
    <t>9837106783</t>
  </si>
  <si>
    <t>M0252</t>
  </si>
  <si>
    <t>9328678649</t>
  </si>
  <si>
    <t>M0253</t>
  </si>
  <si>
    <t>9275848567</t>
  </si>
  <si>
    <t>M0254</t>
  </si>
  <si>
    <t>9929850131</t>
  </si>
  <si>
    <t>M0255</t>
  </si>
  <si>
    <t>9244090614</t>
  </si>
  <si>
    <t>M0256</t>
  </si>
  <si>
    <t>9143617155</t>
  </si>
  <si>
    <t>M0257</t>
  </si>
  <si>
    <t>9944817977</t>
  </si>
  <si>
    <t>M0258</t>
  </si>
  <si>
    <t>9685167447</t>
  </si>
  <si>
    <t>M0259</t>
  </si>
  <si>
    <t>9737940881</t>
  </si>
  <si>
    <t>M0260</t>
  </si>
  <si>
    <t>9410400264</t>
  </si>
  <si>
    <t>M0261</t>
  </si>
  <si>
    <t>9731055364</t>
  </si>
  <si>
    <t>M0262</t>
  </si>
  <si>
    <t>9934622720</t>
  </si>
  <si>
    <t>M0263</t>
  </si>
  <si>
    <t>Amit Das</t>
  </si>
  <si>
    <t>9779146501</t>
  </si>
  <si>
    <t>amitdas@example.com</t>
  </si>
  <si>
    <t>M0264</t>
  </si>
  <si>
    <t>9225850907</t>
  </si>
  <si>
    <t>M0265</t>
  </si>
  <si>
    <t>9340940981</t>
  </si>
  <si>
    <t>M0266</t>
  </si>
  <si>
    <t>9168053867</t>
  </si>
  <si>
    <t>M0267</t>
  </si>
  <si>
    <t>9467662256</t>
  </si>
  <si>
    <t>M0268</t>
  </si>
  <si>
    <t>9831903950</t>
  </si>
  <si>
    <t>M0269</t>
  </si>
  <si>
    <t>9249081423</t>
  </si>
  <si>
    <t>M0270</t>
  </si>
  <si>
    <t>9622856774</t>
  </si>
  <si>
    <t>M0271</t>
  </si>
  <si>
    <t>9136232398</t>
  </si>
  <si>
    <t>M0272</t>
  </si>
  <si>
    <t>9181114437</t>
  </si>
  <si>
    <t>M0273</t>
  </si>
  <si>
    <t>9425406331</t>
  </si>
  <si>
    <t>M0274</t>
  </si>
  <si>
    <t>9556098893</t>
  </si>
  <si>
    <t>M0275</t>
  </si>
  <si>
    <t>9738434296</t>
  </si>
  <si>
    <t>M0276</t>
  </si>
  <si>
    <t>9694531874</t>
  </si>
  <si>
    <t>M0277</t>
  </si>
  <si>
    <t>9931434767</t>
  </si>
  <si>
    <t>M0278</t>
  </si>
  <si>
    <t>9158886037</t>
  </si>
  <si>
    <t>M0279</t>
  </si>
  <si>
    <t>9714538327</t>
  </si>
  <si>
    <t>M0280</t>
  </si>
  <si>
    <t>9332232672</t>
  </si>
  <si>
    <t>M0281</t>
  </si>
  <si>
    <t>9748620718</t>
  </si>
  <si>
    <t>M0282</t>
  </si>
  <si>
    <t>9918974651</t>
  </si>
  <si>
    <t>M0283</t>
  </si>
  <si>
    <t>9438212615</t>
  </si>
  <si>
    <t>M0284</t>
  </si>
  <si>
    <t>9299310482</t>
  </si>
  <si>
    <t>M0285</t>
  </si>
  <si>
    <t>9918232400</t>
  </si>
  <si>
    <t>M0286</t>
  </si>
  <si>
    <t>9625621208</t>
  </si>
  <si>
    <t>M0287</t>
  </si>
  <si>
    <t>9924483966</t>
  </si>
  <si>
    <t>M0288</t>
  </si>
  <si>
    <t>9135995902</t>
  </si>
  <si>
    <t>M0289</t>
  </si>
  <si>
    <t>9907191978</t>
  </si>
  <si>
    <t>M0290</t>
  </si>
  <si>
    <t>9658197794</t>
  </si>
  <si>
    <t>M0291</t>
  </si>
  <si>
    <t>9430754447</t>
  </si>
  <si>
    <t>M0292</t>
  </si>
  <si>
    <t>9145122895</t>
  </si>
  <si>
    <t>M0293</t>
  </si>
  <si>
    <t>Nova Hub</t>
  </si>
  <si>
    <t>9801673673</t>
  </si>
  <si>
    <t>M0294</t>
  </si>
  <si>
    <t>9737271708</t>
  </si>
  <si>
    <t>M0295</t>
  </si>
  <si>
    <t>9828275493</t>
  </si>
  <si>
    <t>M0296</t>
  </si>
  <si>
    <t>9881230762</t>
  </si>
  <si>
    <t>M0297</t>
  </si>
  <si>
    <t>9686074784</t>
  </si>
  <si>
    <t>M0298</t>
  </si>
  <si>
    <t>9204921399</t>
  </si>
  <si>
    <t>M0299</t>
  </si>
  <si>
    <t>9906245157</t>
  </si>
  <si>
    <t>M0300</t>
  </si>
  <si>
    <t>9680157764</t>
  </si>
  <si>
    <t>M0301</t>
  </si>
  <si>
    <t>9731711027</t>
  </si>
  <si>
    <t>M0302</t>
  </si>
  <si>
    <t>9815199012</t>
  </si>
  <si>
    <t>M0303</t>
  </si>
  <si>
    <t>9378782280</t>
  </si>
  <si>
    <t>M0304</t>
  </si>
  <si>
    <t>9225604411</t>
  </si>
  <si>
    <t>M0305</t>
  </si>
  <si>
    <t>9613173148</t>
  </si>
  <si>
    <t>M0306</t>
  </si>
  <si>
    <t>9844375190</t>
  </si>
  <si>
    <t>M0307</t>
  </si>
  <si>
    <t>9250195521</t>
  </si>
  <si>
    <t>M0308</t>
  </si>
  <si>
    <t>9583083989</t>
  </si>
  <si>
    <t>M0309</t>
  </si>
  <si>
    <t>9341840213</t>
  </si>
  <si>
    <t>M0310</t>
  </si>
  <si>
    <t>9615702178</t>
  </si>
  <si>
    <t>M0311</t>
  </si>
  <si>
    <t>9433558333</t>
  </si>
  <si>
    <t>M0312</t>
  </si>
  <si>
    <t>9748748331</t>
  </si>
  <si>
    <t>M0313</t>
  </si>
  <si>
    <t>9285260441</t>
  </si>
  <si>
    <t>M0314</t>
  </si>
  <si>
    <t>9917009605</t>
  </si>
  <si>
    <t>M0315</t>
  </si>
  <si>
    <t>9677900651</t>
  </si>
  <si>
    <t>M0316</t>
  </si>
  <si>
    <t>9500939531</t>
  </si>
  <si>
    <t>M0317</t>
  </si>
  <si>
    <t>9699299571</t>
  </si>
  <si>
    <t>M0318</t>
  </si>
  <si>
    <t>Trend Mart</t>
  </si>
  <si>
    <t>Sneha Das</t>
  </si>
  <si>
    <t>9237611121</t>
  </si>
  <si>
    <t>snehadas@example.com</t>
  </si>
  <si>
    <t>M0319</t>
  </si>
  <si>
    <t>9860246954</t>
  </si>
  <si>
    <t>M0320</t>
  </si>
  <si>
    <t>9964189773</t>
  </si>
  <si>
    <t>M0321</t>
  </si>
  <si>
    <t>9363745102</t>
  </si>
  <si>
    <t>M0322</t>
  </si>
  <si>
    <t>9940524534</t>
  </si>
  <si>
    <t>M0323</t>
  </si>
  <si>
    <t>9604465152</t>
  </si>
  <si>
    <t>M0324</t>
  </si>
  <si>
    <t>9377662511</t>
  </si>
  <si>
    <t>M0325</t>
  </si>
  <si>
    <t>9440203452</t>
  </si>
  <si>
    <t>M0326</t>
  </si>
  <si>
    <t>9310442845</t>
  </si>
  <si>
    <t>M0327</t>
  </si>
  <si>
    <t>9556842808</t>
  </si>
  <si>
    <t>M0328</t>
  </si>
  <si>
    <t>9501798610</t>
  </si>
  <si>
    <t>M0329</t>
  </si>
  <si>
    <t>9924711677</t>
  </si>
  <si>
    <t>M0330</t>
  </si>
  <si>
    <t>9348801220</t>
  </si>
  <si>
    <t>M0331</t>
  </si>
  <si>
    <t>9903301635</t>
  </si>
  <si>
    <t>M0332</t>
  </si>
  <si>
    <t>Urban Bazaar</t>
  </si>
  <si>
    <t>9354934042</t>
  </si>
  <si>
    <t>M0333</t>
  </si>
  <si>
    <t>9628098225</t>
  </si>
  <si>
    <t>M0334</t>
  </si>
  <si>
    <t>9990187721</t>
  </si>
  <si>
    <t>M0335</t>
  </si>
  <si>
    <t>9219885135</t>
  </si>
  <si>
    <t>M0336</t>
  </si>
  <si>
    <t>9788474496</t>
  </si>
  <si>
    <t>M0337</t>
  </si>
  <si>
    <t>Glow Zone</t>
  </si>
  <si>
    <t>9259032795</t>
  </si>
  <si>
    <t>M0338</t>
  </si>
  <si>
    <t>9757570032</t>
  </si>
  <si>
    <t>M0339</t>
  </si>
  <si>
    <t>9873222961</t>
  </si>
  <si>
    <t>M0340</t>
  </si>
  <si>
    <t>9355418536</t>
  </si>
  <si>
    <t>M0341</t>
  </si>
  <si>
    <t>9467812352</t>
  </si>
  <si>
    <t>M0342</t>
  </si>
  <si>
    <t>9199886967</t>
  </si>
  <si>
    <t>M0343</t>
  </si>
  <si>
    <t>9807475865</t>
  </si>
  <si>
    <t>M0344</t>
  </si>
  <si>
    <t>9490051163</t>
  </si>
  <si>
    <t>M0345</t>
  </si>
  <si>
    <t>9703559003</t>
  </si>
  <si>
    <t>M0346</t>
  </si>
  <si>
    <t>9835967213</t>
  </si>
  <si>
    <t>M0347</t>
  </si>
  <si>
    <t>9914761278</t>
  </si>
  <si>
    <t>M0348</t>
  </si>
  <si>
    <t>9244795530</t>
  </si>
  <si>
    <t>M0349</t>
  </si>
  <si>
    <t>9612284607</t>
  </si>
  <si>
    <t>M0350</t>
  </si>
  <si>
    <t>9293485033</t>
  </si>
  <si>
    <t>M0351</t>
  </si>
  <si>
    <t>9334611402</t>
  </si>
  <si>
    <t>M0352</t>
  </si>
  <si>
    <t>9158102161</t>
  </si>
  <si>
    <t>M0353</t>
  </si>
  <si>
    <t>9990148027</t>
  </si>
  <si>
    <t>M0354</t>
  </si>
  <si>
    <t>Sneha Nair</t>
  </si>
  <si>
    <t>9670439390</t>
  </si>
  <si>
    <t>snehanair@example.com</t>
  </si>
  <si>
    <t>M0355</t>
  </si>
  <si>
    <t>9884233104</t>
  </si>
  <si>
    <t>M0356</t>
  </si>
  <si>
    <t>9530124667</t>
  </si>
  <si>
    <t>M0357</t>
  </si>
  <si>
    <t>9259260955</t>
  </si>
  <si>
    <t>M0358</t>
  </si>
  <si>
    <t>9961295739</t>
  </si>
  <si>
    <t>M0359</t>
  </si>
  <si>
    <t>9907461914</t>
  </si>
  <si>
    <t>M0360</t>
  </si>
  <si>
    <t>9613691298</t>
  </si>
  <si>
    <t>M0361</t>
  </si>
  <si>
    <t>9360605614</t>
  </si>
  <si>
    <t>M0362</t>
  </si>
  <si>
    <t>9267076836</t>
  </si>
  <si>
    <t>M0363</t>
  </si>
  <si>
    <t>9521022151</t>
  </si>
  <si>
    <t>M0364</t>
  </si>
  <si>
    <t>9708048624</t>
  </si>
  <si>
    <t>M0365</t>
  </si>
  <si>
    <t>9733754911</t>
  </si>
  <si>
    <t>M0366</t>
  </si>
  <si>
    <t>9491621772</t>
  </si>
  <si>
    <t>M0367</t>
  </si>
  <si>
    <t>9264809024</t>
  </si>
  <si>
    <t>M0368</t>
  </si>
  <si>
    <t>9576433538</t>
  </si>
  <si>
    <t>M0369</t>
  </si>
  <si>
    <t>9587733896</t>
  </si>
  <si>
    <t>M0370</t>
  </si>
  <si>
    <t>9497486995</t>
  </si>
  <si>
    <t>M0371</t>
  </si>
  <si>
    <t>9660152846</t>
  </si>
  <si>
    <t>M0372</t>
  </si>
  <si>
    <t>9682953992</t>
  </si>
  <si>
    <t>M0373</t>
  </si>
  <si>
    <t>9381533018</t>
  </si>
  <si>
    <t>M0374</t>
  </si>
  <si>
    <t>9396323921</t>
  </si>
  <si>
    <t>M0375</t>
  </si>
  <si>
    <t>9366117351</t>
  </si>
  <si>
    <t>M0376</t>
  </si>
  <si>
    <t>9204981491</t>
  </si>
  <si>
    <t>M0377</t>
  </si>
  <si>
    <t>9876211725</t>
  </si>
  <si>
    <t>M0378</t>
  </si>
  <si>
    <t>9615223494</t>
  </si>
  <si>
    <t>M0379</t>
  </si>
  <si>
    <t>9480301545</t>
  </si>
  <si>
    <t>M0380</t>
  </si>
  <si>
    <t>9552168235</t>
  </si>
  <si>
    <t>M0381</t>
  </si>
  <si>
    <t>9700770254</t>
  </si>
  <si>
    <t>M0382</t>
  </si>
  <si>
    <t>9648545620</t>
  </si>
  <si>
    <t>M0383</t>
  </si>
  <si>
    <t>9124466297</t>
  </si>
  <si>
    <t>M0384</t>
  </si>
  <si>
    <t>9517964504</t>
  </si>
  <si>
    <t>M0385</t>
  </si>
  <si>
    <t>9154259184</t>
  </si>
  <si>
    <t>M0386</t>
  </si>
  <si>
    <t>9755724459</t>
  </si>
  <si>
    <t>M0387</t>
  </si>
  <si>
    <t>9300510896</t>
  </si>
  <si>
    <t>M0388</t>
  </si>
  <si>
    <t>9692076501</t>
  </si>
  <si>
    <t>M0389</t>
  </si>
  <si>
    <t>9573381163</t>
  </si>
  <si>
    <t>M0390</t>
  </si>
  <si>
    <t>9251361981</t>
  </si>
  <si>
    <t>M0391</t>
  </si>
  <si>
    <t>9757327609</t>
  </si>
  <si>
    <t>M0392</t>
  </si>
  <si>
    <t>9488182807</t>
  </si>
  <si>
    <t>M0393</t>
  </si>
  <si>
    <t>9942599970</t>
  </si>
  <si>
    <t>M0394</t>
  </si>
  <si>
    <t>9744833540</t>
  </si>
  <si>
    <t>M0395</t>
  </si>
  <si>
    <t>9289555141</t>
  </si>
  <si>
    <t>M0396</t>
  </si>
  <si>
    <t>9882837340</t>
  </si>
  <si>
    <t>M0397</t>
  </si>
  <si>
    <t>9621671189</t>
  </si>
  <si>
    <t>M0398</t>
  </si>
  <si>
    <t>9678909359</t>
  </si>
  <si>
    <t>M0399</t>
  </si>
  <si>
    <t>9750900746</t>
  </si>
  <si>
    <t>M0400</t>
  </si>
  <si>
    <t>9191173683</t>
  </si>
  <si>
    <t>M0401</t>
  </si>
  <si>
    <t>9587711538</t>
  </si>
  <si>
    <t>M0402</t>
  </si>
  <si>
    <t>9622745566</t>
  </si>
  <si>
    <t>M0403</t>
  </si>
  <si>
    <t>9238741330</t>
  </si>
  <si>
    <t>M0404</t>
  </si>
  <si>
    <t>9277748479</t>
  </si>
  <si>
    <t>M0405</t>
  </si>
  <si>
    <t>9233675935</t>
  </si>
  <si>
    <t>M0406</t>
  </si>
  <si>
    <t>9451885276</t>
  </si>
  <si>
    <t>M0407</t>
  </si>
  <si>
    <t>9909045013</t>
  </si>
  <si>
    <t>M0408</t>
  </si>
  <si>
    <t>9723427414</t>
  </si>
  <si>
    <t>M0409</t>
  </si>
  <si>
    <t>9705084177</t>
  </si>
  <si>
    <t>M0410</t>
  </si>
  <si>
    <t>9315352692</t>
  </si>
  <si>
    <t>M0411</t>
  </si>
  <si>
    <t>9212603446</t>
  </si>
  <si>
    <t>M0412</t>
  </si>
  <si>
    <t>9782597483</t>
  </si>
  <si>
    <t>M0413</t>
  </si>
  <si>
    <t>9451672652</t>
  </si>
  <si>
    <t>M0414</t>
  </si>
  <si>
    <t>9486692820</t>
  </si>
  <si>
    <t>M0415</t>
  </si>
  <si>
    <t>9139517493</t>
  </si>
  <si>
    <t>M0416</t>
  </si>
  <si>
    <t>9106776624</t>
  </si>
  <si>
    <t>M0417</t>
  </si>
  <si>
    <t>9763290958</t>
  </si>
  <si>
    <t>M0418</t>
  </si>
  <si>
    <t>9438933611</t>
  </si>
  <si>
    <t>M0419</t>
  </si>
  <si>
    <t>9700792480</t>
  </si>
  <si>
    <t>M0420</t>
  </si>
  <si>
    <t>9735954759</t>
  </si>
  <si>
    <t>M0421</t>
  </si>
  <si>
    <t>9177787603</t>
  </si>
  <si>
    <t>M0422</t>
  </si>
  <si>
    <t>9191705426</t>
  </si>
  <si>
    <t>M0423</t>
  </si>
  <si>
    <t>9592763366</t>
  </si>
  <si>
    <t>M0424</t>
  </si>
  <si>
    <t>9292929726</t>
  </si>
  <si>
    <t>M0425</t>
  </si>
  <si>
    <t>9257235114</t>
  </si>
  <si>
    <t>M0426</t>
  </si>
  <si>
    <t>9384298699</t>
  </si>
  <si>
    <t>M0427</t>
  </si>
  <si>
    <t>9953384107</t>
  </si>
  <si>
    <t>M0428</t>
  </si>
  <si>
    <t>9100697655</t>
  </si>
  <si>
    <t>M0429</t>
  </si>
  <si>
    <t>9917082096</t>
  </si>
  <si>
    <t>M0430</t>
  </si>
  <si>
    <t>9508796029</t>
  </si>
  <si>
    <t>M0431</t>
  </si>
  <si>
    <t>9588965560</t>
  </si>
  <si>
    <t>M0432</t>
  </si>
  <si>
    <t>9683941569</t>
  </si>
  <si>
    <t>M0433</t>
  </si>
  <si>
    <t>9638936553</t>
  </si>
  <si>
    <t>M0434</t>
  </si>
  <si>
    <t>9450331292</t>
  </si>
  <si>
    <t>M0435</t>
  </si>
  <si>
    <t>9463735001</t>
  </si>
  <si>
    <t>M0436</t>
  </si>
  <si>
    <t>9693303403</t>
  </si>
  <si>
    <t>M0437</t>
  </si>
  <si>
    <t>9954090508</t>
  </si>
  <si>
    <t>M0438</t>
  </si>
  <si>
    <t>9818674147</t>
  </si>
  <si>
    <t>M0439</t>
  </si>
  <si>
    <t>9189897492</t>
  </si>
  <si>
    <t>M0440</t>
  </si>
  <si>
    <t>9704465609</t>
  </si>
  <si>
    <t>M0441</t>
  </si>
  <si>
    <t>9217563514</t>
  </si>
  <si>
    <t>M0442</t>
  </si>
  <si>
    <t>9847402500</t>
  </si>
  <si>
    <t>M0443</t>
  </si>
  <si>
    <t>9615831929</t>
  </si>
  <si>
    <t>M0444</t>
  </si>
  <si>
    <t>9811688137</t>
  </si>
  <si>
    <t>M0445</t>
  </si>
  <si>
    <t>9212321888</t>
  </si>
  <si>
    <t>M0446</t>
  </si>
  <si>
    <t>9329982199</t>
  </si>
  <si>
    <t>M0447</t>
  </si>
  <si>
    <t>9385079634</t>
  </si>
  <si>
    <t>M0448</t>
  </si>
  <si>
    <t>9193753701</t>
  </si>
  <si>
    <t>M0449</t>
  </si>
  <si>
    <t>9198985428</t>
  </si>
  <si>
    <t>M0450</t>
  </si>
  <si>
    <t>9701388545</t>
  </si>
  <si>
    <t>M0451</t>
  </si>
  <si>
    <t>9671884510</t>
  </si>
  <si>
    <t>M0452</t>
  </si>
  <si>
    <t>9811773681</t>
  </si>
  <si>
    <t>M0453</t>
  </si>
  <si>
    <t>9970448528</t>
  </si>
  <si>
    <t>M0454</t>
  </si>
  <si>
    <t>9294642655</t>
  </si>
  <si>
    <t>M0455</t>
  </si>
  <si>
    <t>9630705590</t>
  </si>
  <si>
    <t>M0456</t>
  </si>
  <si>
    <t>9963399893</t>
  </si>
  <si>
    <t>M0457</t>
  </si>
  <si>
    <t>9229378127</t>
  </si>
  <si>
    <t>M0458</t>
  </si>
  <si>
    <t>9129910696</t>
  </si>
  <si>
    <t>M0459</t>
  </si>
  <si>
    <t>9370548304</t>
  </si>
  <si>
    <t>M0460</t>
  </si>
  <si>
    <t>9540609706</t>
  </si>
  <si>
    <t>M0461</t>
  </si>
  <si>
    <t>9100178934</t>
  </si>
  <si>
    <t>M0462</t>
  </si>
  <si>
    <t>9552978338</t>
  </si>
  <si>
    <t>M0463</t>
  </si>
  <si>
    <t>9224909992</t>
  </si>
  <si>
    <t>M0464</t>
  </si>
  <si>
    <t>9685149755</t>
  </si>
  <si>
    <t>M0465</t>
  </si>
  <si>
    <t>9167205123</t>
  </si>
  <si>
    <t>M0466</t>
  </si>
  <si>
    <t>9188074659</t>
  </si>
  <si>
    <t>M0467</t>
  </si>
  <si>
    <t>9104327680</t>
  </si>
  <si>
    <t>M0468</t>
  </si>
  <si>
    <t>9218335001</t>
  </si>
  <si>
    <t>M0469</t>
  </si>
  <si>
    <t>9774986504</t>
  </si>
  <si>
    <t>M0470</t>
  </si>
  <si>
    <t>9337342282</t>
  </si>
  <si>
    <t>M0471</t>
  </si>
  <si>
    <t>9765839936</t>
  </si>
  <si>
    <t>M0472</t>
  </si>
  <si>
    <t>9759648231</t>
  </si>
  <si>
    <t>M0473</t>
  </si>
  <si>
    <t>Amit Iyer</t>
  </si>
  <si>
    <t>9204764969</t>
  </si>
  <si>
    <t>amitiyer@example.com</t>
  </si>
  <si>
    <t>M0474</t>
  </si>
  <si>
    <t>9786448715</t>
  </si>
  <si>
    <t>M0475</t>
  </si>
  <si>
    <t>9848941841</t>
  </si>
  <si>
    <t>M0476</t>
  </si>
  <si>
    <t>9653698210</t>
  </si>
  <si>
    <t>M0477</t>
  </si>
  <si>
    <t>9629295491</t>
  </si>
  <si>
    <t>M0478</t>
  </si>
  <si>
    <t>9431735951</t>
  </si>
  <si>
    <t>M0479</t>
  </si>
  <si>
    <t>9240702946</t>
  </si>
  <si>
    <t>M0480</t>
  </si>
  <si>
    <t>9646607767</t>
  </si>
  <si>
    <t>M0481</t>
  </si>
  <si>
    <t>9273465351</t>
  </si>
  <si>
    <t>M0482</t>
  </si>
  <si>
    <t>9205419916</t>
  </si>
  <si>
    <t>M0483</t>
  </si>
  <si>
    <t>9968548963</t>
  </si>
  <si>
    <t>M0484</t>
  </si>
  <si>
    <t>9362403812</t>
  </si>
  <si>
    <t>M0485</t>
  </si>
  <si>
    <t>9889416871</t>
  </si>
  <si>
    <t>M0486</t>
  </si>
  <si>
    <t>9242544619</t>
  </si>
  <si>
    <t>M0487</t>
  </si>
  <si>
    <t>9954388695</t>
  </si>
  <si>
    <t>M0488</t>
  </si>
  <si>
    <t>9670497821</t>
  </si>
  <si>
    <t>M0489</t>
  </si>
  <si>
    <t>9209604845</t>
  </si>
  <si>
    <t>M0490</t>
  </si>
  <si>
    <t>9297828833</t>
  </si>
  <si>
    <t>M0491</t>
  </si>
  <si>
    <t>9869554950</t>
  </si>
  <si>
    <t>M0492</t>
  </si>
  <si>
    <t>9438960288</t>
  </si>
  <si>
    <t>M0493</t>
  </si>
  <si>
    <t>9473025102</t>
  </si>
  <si>
    <t>M0494</t>
  </si>
  <si>
    <t>9546946194</t>
  </si>
  <si>
    <t>M0495</t>
  </si>
  <si>
    <t>9664249540</t>
  </si>
  <si>
    <t>M0496</t>
  </si>
  <si>
    <t>9238199355</t>
  </si>
  <si>
    <t>M0497</t>
  </si>
  <si>
    <t>9206835063</t>
  </si>
  <si>
    <t>M0498</t>
  </si>
  <si>
    <t>9557561026</t>
  </si>
  <si>
    <t>M0499</t>
  </si>
  <si>
    <t>9245873326</t>
  </si>
  <si>
    <t>M0500</t>
  </si>
  <si>
    <t>9673689569</t>
  </si>
  <si>
    <t>📊  KPI METRICS &amp; EXECUTIVE PERFORMANCE</t>
  </si>
  <si>
    <t>EXECUTIVE PERFORMANCE SCORECARD</t>
  </si>
  <si>
    <t>Category</t>
  </si>
  <si>
    <t>Count</t>
  </si>
  <si>
    <t>Total</t>
  </si>
  <si>
    <t>Approval %</t>
  </si>
  <si>
    <t>Avg Days</t>
  </si>
  <si>
    <t>Total Merchants</t>
  </si>
  <si>
    <t>Approval Rate</t>
  </si>
  <si>
    <t>Avg Onboarding Days</t>
  </si>
  <si>
    <t>Overdue</t>
  </si>
  <si>
    <t>At-Risk</t>
  </si>
  <si>
    <t>STAGE FUNNEL</t>
  </si>
  <si>
    <t>Month</t>
  </si>
  <si>
    <t>Submissions</t>
  </si>
  <si>
    <t>Risk</t>
  </si>
  <si>
    <t>2025-12</t>
  </si>
  <si>
    <t>2026-01</t>
  </si>
  <si>
    <t>2026-02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</si>
</sst>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18">
    <font>
      <sz val="11.0"/>
      <color theme="1"/>
      <name val="Arial"/>
      <scheme val="minor"/>
    </font>
    <font>
      <b/>
      <sz val="12.0"/>
      <color rgb="FFFFFFFF"/>
      <name val="Garamond"/>
    </font>
    <font/>
    <font>
      <sz val="12.0"/>
      <color rgb="FFFFFFFF"/>
      <name val="Garamond"/>
    </font>
    <font>
      <sz val="11.0"/>
      <color rgb="FF000000"/>
      <name val="Garamond"/>
    </font>
    <font>
      <sz val="12.0"/>
      <color rgb="FF393939"/>
      <name val="Garamond"/>
    </font>
    <font>
      <sz val="11.0"/>
      <color rgb="FF000000"/>
      <name val="Arial"/>
    </font>
    <font>
      <b/>
      <sz val="16.0"/>
      <color rgb="FFFFFFFF"/>
      <name val="Garamond"/>
    </font>
    <font>
      <sz val="11.0"/>
      <color theme="1"/>
      <name val="Garamond"/>
    </font>
    <font>
      <sz val="11.0"/>
      <color rgb="FFFFFFFF"/>
      <name val="Garamond"/>
    </font>
    <font>
      <color rgb="FFFFFFFF"/>
      <name val="Arial"/>
      <scheme val="minor"/>
    </font>
    <font>
      <b/>
      <sz val="11.0"/>
      <color rgb="FFFFFFFF"/>
      <name val="Garamond"/>
    </font>
    <font>
      <sz val="12.0"/>
      <color rgb="FF1F1F1F"/>
      <name val="Garamond"/>
    </font>
    <font>
      <b/>
      <sz val="13.0"/>
      <color rgb="FF000000"/>
      <name val="Garamond"/>
    </font>
    <font>
      <sz val="13.0"/>
      <color theme="1"/>
      <name val="Garamond"/>
    </font>
    <font>
      <sz val="12.0"/>
      <color rgb="FF000000"/>
      <name val="Garamond"/>
    </font>
    <font>
      <sz val="13.0"/>
      <color rgb="FF000000"/>
      <name val="Garamond"/>
    </font>
    <font>
      <sz val="11.0"/>
      <color rgb="FF1F1F1F"/>
      <name val="Garamond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C6EFCE"/>
        <bgColor rgb="FFC6EFCE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EEF3FA"/>
        <bgColor rgb="FFEEF3FA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4" fillId="3" fontId="3" numFmtId="0" xfId="0" applyAlignment="1" applyBorder="1" applyFill="1" applyFont="1">
      <alignment horizontal="left" shrinkToFit="0" vertical="center" wrapText="0"/>
    </xf>
    <xf borderId="5" fillId="3" fontId="3" numFmtId="0" xfId="0" applyAlignment="1" applyBorder="1" applyFont="1">
      <alignment horizontal="left" shrinkToFit="0" vertical="center" wrapText="0"/>
    </xf>
    <xf borderId="4" fillId="4" fontId="4" numFmtId="0" xfId="0" applyAlignment="1" applyBorder="1" applyFill="1" applyFont="1">
      <alignment horizontal="left" shrinkToFit="0" vertical="center" wrapText="0"/>
    </xf>
    <xf borderId="4" fillId="4" fontId="4" numFmtId="164" xfId="0" applyAlignment="1" applyBorder="1" applyFont="1" applyNumberFormat="1">
      <alignment horizontal="left" shrinkToFit="0" vertical="center" wrapText="0"/>
    </xf>
    <xf borderId="4" fillId="4" fontId="4" numFmtId="0" xfId="0" applyAlignment="1" applyBorder="1" applyFont="1">
      <alignment horizontal="left" readingOrder="0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5" fontId="4" numFmtId="164" xfId="0" applyAlignment="1" applyBorder="1" applyFont="1" applyNumberFormat="1">
      <alignment horizontal="left" shrinkToFit="0" vertical="center" wrapText="0"/>
    </xf>
    <xf borderId="0" fillId="4" fontId="5" numFmtId="0" xfId="0" applyAlignment="1" applyFont="1">
      <alignment readingOrder="0"/>
    </xf>
    <xf borderId="4" fillId="4" fontId="6" numFmtId="0" xfId="0" applyAlignment="1" applyBorder="1" applyFont="1">
      <alignment horizontal="left" shrinkToFit="0" vertical="center" wrapText="0"/>
    </xf>
    <xf borderId="4" fillId="4" fontId="6" numFmtId="164" xfId="0" applyAlignment="1" applyBorder="1" applyFont="1" applyNumberFormat="1">
      <alignment horizontal="left" shrinkToFit="0" vertical="center" wrapText="0"/>
    </xf>
    <xf borderId="1" fillId="2" fontId="7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4" fontId="8" numFmtId="0" xfId="0" applyFont="1"/>
    <xf borderId="6" fillId="2" fontId="1" numFmtId="0" xfId="0" applyAlignment="1" applyBorder="1" applyFont="1">
      <alignment horizontal="center" shrinkToFit="0" vertical="center" wrapText="1"/>
    </xf>
    <xf borderId="0" fillId="4" fontId="9" numFmtId="0" xfId="0" applyFont="1"/>
    <xf borderId="0" fillId="4" fontId="10" numFmtId="0" xfId="0" applyFont="1"/>
    <xf borderId="0" fillId="0" fontId="8" numFmtId="0" xfId="0" applyFont="1"/>
    <xf borderId="6" fillId="3" fontId="11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readingOrder="0" shrinkToFit="0" vertical="center" wrapText="1"/>
    </xf>
    <xf borderId="6" fillId="3" fontId="11" numFmtId="2" xfId="0" applyAlignment="1" applyBorder="1" applyFont="1" applyNumberForma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center" readingOrder="0" shrinkToFit="0" vertical="center" wrapText="1"/>
    </xf>
    <xf borderId="7" fillId="6" fontId="1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0" fillId="4" fontId="14" numFmtId="0" xfId="0" applyFont="1"/>
    <xf borderId="7" fillId="7" fontId="13" numFmtId="0" xfId="0" applyAlignment="1" applyBorder="1" applyFill="1" applyFont="1">
      <alignment horizontal="center" readingOrder="0" shrinkToFit="0" vertical="center" wrapText="1"/>
    </xf>
    <xf borderId="7" fillId="8" fontId="13" numFmtId="0" xfId="0" applyAlignment="1" applyBorder="1" applyFill="1" applyFont="1">
      <alignment horizontal="center" readingOrder="0" shrinkToFit="0" vertical="center" wrapText="1"/>
    </xf>
    <xf borderId="7" fillId="9" fontId="13" numFmtId="0" xfId="0" applyAlignment="1" applyBorder="1" applyFill="1" applyFont="1">
      <alignment horizontal="center" readingOrder="0" shrinkToFit="0" vertical="center" wrapText="1"/>
    </xf>
    <xf borderId="6" fillId="4" fontId="15" numFmtId="0" xfId="0" applyAlignment="1" applyBorder="1" applyFont="1">
      <alignment horizontal="center" shrinkToFit="0" vertical="center" wrapText="1"/>
    </xf>
    <xf borderId="6" fillId="4" fontId="15" numFmtId="10" xfId="0" applyAlignment="1" applyBorder="1" applyFont="1" applyNumberFormat="1">
      <alignment horizontal="center" shrinkToFit="0" vertical="center" wrapText="1"/>
    </xf>
    <xf borderId="6" fillId="4" fontId="15" numFmtId="2" xfId="0" applyAlignment="1" applyBorder="1" applyFont="1" applyNumberFormat="1">
      <alignment horizontal="center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9" fillId="4" fontId="1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4" fontId="16" numFmtId="0" xfId="0" applyFont="1"/>
    <xf borderId="11" fillId="4" fontId="16" numFmtId="0" xfId="0" applyBorder="1" applyFont="1"/>
    <xf borderId="7" fillId="7" fontId="13" numFmtId="0" xfId="0" applyAlignment="1" applyBorder="1" applyFont="1">
      <alignment horizontal="center" shrinkToFit="0" vertical="center" wrapText="1"/>
    </xf>
    <xf borderId="9" fillId="4" fontId="13" numFmtId="10" xfId="0" applyAlignment="1" applyBorder="1" applyFont="1" applyNumberFormat="1">
      <alignment horizontal="center" readingOrder="0" shrinkToFit="0" vertical="center" wrapText="1"/>
    </xf>
    <xf borderId="9" fillId="4" fontId="13" numFmtId="165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6" fillId="4" fontId="17" numFmtId="0" xfId="0" applyAlignment="1" applyBorder="1" applyFont="1">
      <alignment horizontal="center" shrinkToFit="0" vertical="center" wrapText="1"/>
    </xf>
    <xf borderId="6" fillId="10" fontId="17" numFmtId="0" xfId="0" applyAlignment="1" applyBorder="1" applyFill="1" applyFont="1">
      <alignment horizontal="center" shrinkToFit="0" vertical="center" wrapText="1"/>
    </xf>
    <xf borderId="0" fillId="4" fontId="17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FFFFFF"/>
                </a:solidFill>
                <a:latin typeface="Calibri"/>
              </a:defRPr>
            </a:pPr>
            <a:r>
              <a:rPr b="1" i="0" sz="1800">
                <a:solidFill>
                  <a:srgbClr val="FFFFFF"/>
                </a:solidFill>
                <a:latin typeface="Calibri"/>
              </a:rPr>
              <a:t>Monthly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v>Submissions</c:v>
          </c:tx>
          <c:spPr>
            <a:ln cmpd="sng" w="3810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'📊 KPI Metrics &amp; Visual Dashboa'!$M$10:$M$12</c:f>
            </c:strRef>
          </c:cat>
          <c:val>
            <c:numRef>
              <c:f>'📊 KPI Metrics &amp; Visual Dashboa'!$N$10:$N$12</c:f>
              <c:numCache/>
            </c:numRef>
          </c:val>
          <c:smooth val="1"/>
        </c:ser>
        <c:ser>
          <c:idx val="1"/>
          <c:order val="1"/>
          <c:tx>
            <c:v>Approved</c:v>
          </c:tx>
          <c:spPr>
            <a:ln cmpd="sng" w="38100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'📊 KPI Metrics &amp; Visual Dashboa'!$M$10:$M$12</c:f>
            </c:strRef>
          </c:cat>
          <c:val>
            <c:numRef>
              <c:f>'📊 KPI Metrics &amp; Visual Dashboa'!$O$10:$O$12</c:f>
              <c:numCache/>
            </c:numRef>
          </c:val>
          <c:smooth val="1"/>
        </c:ser>
        <c:axId val="1244301316"/>
        <c:axId val="1449226814"/>
      </c:lineChart>
      <c:catAx>
        <c:axId val="1244301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9226814"/>
      </c:catAx>
      <c:valAx>
        <c:axId val="144922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4430131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43434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FFFFFF"/>
                </a:solidFill>
                <a:latin typeface="Calibri"/>
              </a:defRPr>
            </a:pPr>
            <a:r>
              <a:rPr b="1" i="0" sz="1800">
                <a:solidFill>
                  <a:srgbClr val="FFFFFF"/>
                </a:solidFill>
                <a:latin typeface="Calibri"/>
              </a:rPr>
              <a:t>Risk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'📊 KPI Metrics &amp; Visual Dashboa'!$R$9</c:f>
            </c:strRef>
          </c:tx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FFD966"/>
              </a:solidFill>
            </c:spPr>
          </c:dPt>
          <c:dPt>
            <c:idx val="2"/>
            <c:spPr>
              <a:solidFill>
                <a:srgbClr val="E0666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KPI Metrics &amp; Visual Dashboa'!$Q$10:$Q$12</c:f>
            </c:strRef>
          </c:cat>
          <c:val>
            <c:numRef>
              <c:f>'📊 KPI Metrics &amp; Visual Dashboa'!$R$10:$R$12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FFFFFF"/>
              </a:solidFill>
              <a:latin typeface="Calibri"/>
            </a:defRPr>
          </a:pPr>
        </a:p>
      </c:txPr>
    </c:legend>
    <c:plotVisOnly val="1"/>
  </c:chart>
  <c:spPr>
    <a:solidFill>
      <a:srgbClr val="43434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8</xdr:row>
      <xdr:rowOff>0</xdr:rowOff>
    </xdr:from>
    <xdr:ext cx="3343275" cy="183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104775</xdr:colOff>
      <xdr:row>9</xdr:row>
      <xdr:rowOff>57150</xdr:rowOff>
    </xdr:from>
    <xdr:ext cx="1895475" cy="1276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2.0"/>
    <col customWidth="1" min="2" max="2" width="14.0"/>
    <col customWidth="1" min="3" max="3" width="17.13"/>
    <col customWidth="1" min="4" max="4" width="14.0"/>
    <col customWidth="1" min="5" max="5" width="27.5"/>
    <col customWidth="1" min="6" max="6" width="12.63"/>
    <col customWidth="1" min="7" max="7" width="14.75"/>
    <col customWidth="1" min="8" max="8" width="12.38"/>
    <col customWidth="1" min="9" max="9" width="22.13"/>
    <col customWidth="1" min="10" max="10" width="20.25"/>
    <col customWidth="1" min="11" max="11" width="18.38"/>
    <col customWidth="1" min="12" max="12" width="15.88"/>
    <col customWidth="1" min="13" max="13" width="18.75"/>
    <col customWidth="1" min="14" max="14" width="15.13"/>
    <col customWidth="1" min="15" max="15" width="18.38"/>
  </cols>
  <sheetData>
    <row r="1" ht="19.5" customHeight="1">
      <c r="A1" s="1"/>
      <c r="B1" s="2" t="s">
        <v>0</v>
      </c>
      <c r="C1" s="3"/>
      <c r="D1" s="3"/>
      <c r="E1" s="3"/>
      <c r="F1" s="4"/>
      <c r="G1" s="2" t="s">
        <v>1</v>
      </c>
      <c r="H1" s="4"/>
      <c r="I1" s="2" t="s">
        <v>2</v>
      </c>
      <c r="J1" s="4"/>
      <c r="K1" s="5" t="s">
        <v>3</v>
      </c>
      <c r="N1" s="1"/>
      <c r="O1" s="6" t="s">
        <v>4</v>
      </c>
    </row>
    <row r="2" ht="19.5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/>
    </row>
    <row r="3" ht="15.75" customHeight="1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  <c r="K3" s="10">
        <v>46034.0</v>
      </c>
      <c r="L3" s="10"/>
      <c r="M3" s="9"/>
      <c r="N3" s="11" t="s">
        <v>29</v>
      </c>
      <c r="O3" s="9"/>
    </row>
    <row r="4" ht="15.75" customHeight="1">
      <c r="A4" s="12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2" t="s">
        <v>37</v>
      </c>
      <c r="I4" s="12" t="s">
        <v>38</v>
      </c>
      <c r="J4" s="12" t="s">
        <v>39</v>
      </c>
      <c r="K4" s="13">
        <v>46049.0</v>
      </c>
      <c r="L4" s="13">
        <v>46056.0</v>
      </c>
      <c r="M4" s="12">
        <v>7.0</v>
      </c>
      <c r="N4" s="12"/>
      <c r="O4" s="12"/>
    </row>
    <row r="5" ht="15.75" customHeight="1">
      <c r="A5" s="9" t="s">
        <v>40</v>
      </c>
      <c r="B5" s="9" t="s">
        <v>41</v>
      </c>
      <c r="C5" s="9" t="s">
        <v>42</v>
      </c>
      <c r="D5" s="9" t="s">
        <v>43</v>
      </c>
      <c r="E5" s="9" t="s">
        <v>44</v>
      </c>
      <c r="F5" s="9" t="s">
        <v>45</v>
      </c>
      <c r="G5" s="9" t="s">
        <v>46</v>
      </c>
      <c r="H5" s="9" t="s">
        <v>47</v>
      </c>
      <c r="I5" s="9" t="s">
        <v>38</v>
      </c>
      <c r="J5" s="9" t="s">
        <v>48</v>
      </c>
      <c r="K5" s="10">
        <v>46065.0</v>
      </c>
      <c r="L5" s="10"/>
      <c r="M5" s="9"/>
      <c r="N5" s="9" t="s">
        <v>29</v>
      </c>
      <c r="O5" s="9"/>
    </row>
    <row r="6" ht="15.75" customHeight="1">
      <c r="A6" s="12" t="s">
        <v>40</v>
      </c>
      <c r="B6" s="12" t="s">
        <v>49</v>
      </c>
      <c r="C6" s="12" t="s">
        <v>50</v>
      </c>
      <c r="D6" s="12" t="s">
        <v>51</v>
      </c>
      <c r="E6" s="12" t="s">
        <v>52</v>
      </c>
      <c r="F6" s="12" t="s">
        <v>35</v>
      </c>
      <c r="G6" s="12" t="s">
        <v>53</v>
      </c>
      <c r="H6" s="12" t="s">
        <v>54</v>
      </c>
      <c r="I6" s="12" t="s">
        <v>55</v>
      </c>
      <c r="J6" s="12" t="s">
        <v>39</v>
      </c>
      <c r="K6" s="13">
        <v>46080.0</v>
      </c>
      <c r="L6" s="13">
        <v>46090.0</v>
      </c>
      <c r="M6" s="12">
        <v>10.0</v>
      </c>
      <c r="N6" s="12"/>
      <c r="O6" s="12"/>
    </row>
    <row r="7" ht="15.75" customHeight="1">
      <c r="A7" s="9" t="s">
        <v>40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24</v>
      </c>
      <c r="G7" s="9" t="s">
        <v>60</v>
      </c>
      <c r="H7" s="9" t="s">
        <v>61</v>
      </c>
      <c r="I7" s="9" t="s">
        <v>38</v>
      </c>
      <c r="J7" s="9" t="s">
        <v>28</v>
      </c>
      <c r="K7" s="10">
        <v>46052.0</v>
      </c>
      <c r="L7" s="10"/>
      <c r="M7" s="9"/>
      <c r="N7" s="9" t="s">
        <v>29</v>
      </c>
      <c r="O7" s="9"/>
    </row>
    <row r="8" ht="15.75" customHeight="1">
      <c r="A8" s="12" t="s">
        <v>62</v>
      </c>
      <c r="B8" s="12" t="s">
        <v>63</v>
      </c>
      <c r="C8" s="12" t="s">
        <v>64</v>
      </c>
      <c r="D8" s="12" t="s">
        <v>65</v>
      </c>
      <c r="E8" s="12" t="s">
        <v>34</v>
      </c>
      <c r="F8" s="12" t="s">
        <v>45</v>
      </c>
      <c r="G8" s="12" t="s">
        <v>66</v>
      </c>
      <c r="H8" s="12" t="s">
        <v>67</v>
      </c>
      <c r="I8" s="12" t="s">
        <v>55</v>
      </c>
      <c r="J8" s="12" t="s">
        <v>39</v>
      </c>
      <c r="K8" s="13">
        <v>46053.0</v>
      </c>
      <c r="L8" s="13">
        <v>46060.0</v>
      </c>
      <c r="M8" s="12">
        <v>7.0</v>
      </c>
      <c r="N8" s="12"/>
      <c r="O8" s="12"/>
    </row>
    <row r="9" ht="15.75" customHeight="1">
      <c r="A9" s="9" t="s">
        <v>30</v>
      </c>
      <c r="B9" s="9" t="s">
        <v>68</v>
      </c>
      <c r="C9" s="9" t="s">
        <v>69</v>
      </c>
      <c r="D9" s="9" t="s">
        <v>70</v>
      </c>
      <c r="E9" s="9" t="s">
        <v>71</v>
      </c>
      <c r="F9" s="9" t="s">
        <v>35</v>
      </c>
      <c r="G9" s="9" t="s">
        <v>72</v>
      </c>
      <c r="H9" s="9" t="s">
        <v>73</v>
      </c>
      <c r="I9" s="9" t="s">
        <v>27</v>
      </c>
      <c r="J9" s="9" t="s">
        <v>48</v>
      </c>
      <c r="K9" s="10">
        <v>46068.0</v>
      </c>
      <c r="L9" s="10"/>
      <c r="M9" s="9"/>
      <c r="N9" s="9"/>
      <c r="O9" s="9"/>
    </row>
    <row r="10" ht="15.75" customHeight="1">
      <c r="A10" s="12" t="s">
        <v>40</v>
      </c>
      <c r="B10" s="12" t="s">
        <v>74</v>
      </c>
      <c r="C10" s="12" t="s">
        <v>57</v>
      </c>
      <c r="D10" s="12" t="s">
        <v>75</v>
      </c>
      <c r="E10" s="12" t="s">
        <v>44</v>
      </c>
      <c r="F10" s="12" t="s">
        <v>45</v>
      </c>
      <c r="G10" s="12" t="s">
        <v>76</v>
      </c>
      <c r="H10" s="12" t="s">
        <v>77</v>
      </c>
      <c r="I10" s="14" t="s">
        <v>27</v>
      </c>
      <c r="J10" s="12" t="s">
        <v>39</v>
      </c>
      <c r="K10" s="13">
        <v>46026.0</v>
      </c>
      <c r="L10" s="13">
        <v>46033.0</v>
      </c>
      <c r="M10" s="12">
        <v>7.0</v>
      </c>
      <c r="N10" s="12"/>
      <c r="O10" s="12"/>
    </row>
    <row r="11" ht="15.75" customHeight="1">
      <c r="A11" s="9" t="s">
        <v>40</v>
      </c>
      <c r="B11" s="9" t="s">
        <v>78</v>
      </c>
      <c r="C11" s="9" t="s">
        <v>79</v>
      </c>
      <c r="D11" s="9" t="s">
        <v>80</v>
      </c>
      <c r="E11" s="9" t="s">
        <v>81</v>
      </c>
      <c r="F11" s="9" t="s">
        <v>45</v>
      </c>
      <c r="G11" s="9" t="s">
        <v>82</v>
      </c>
      <c r="H11" s="9" t="s">
        <v>83</v>
      </c>
      <c r="I11" s="9" t="s">
        <v>38</v>
      </c>
      <c r="J11" s="9" t="s">
        <v>48</v>
      </c>
      <c r="K11" s="10">
        <v>46065.0</v>
      </c>
      <c r="L11" s="10"/>
      <c r="M11" s="9"/>
      <c r="N11" s="9" t="s">
        <v>29</v>
      </c>
      <c r="O11" s="9"/>
    </row>
    <row r="12" ht="15.75" customHeight="1">
      <c r="A12" s="12" t="s">
        <v>40</v>
      </c>
      <c r="B12" s="12" t="s">
        <v>84</v>
      </c>
      <c r="C12" s="12" t="s">
        <v>85</v>
      </c>
      <c r="D12" s="12" t="s">
        <v>86</v>
      </c>
      <c r="E12" s="12" t="s">
        <v>52</v>
      </c>
      <c r="F12" s="12" t="s">
        <v>35</v>
      </c>
      <c r="G12" s="12" t="s">
        <v>87</v>
      </c>
      <c r="H12" s="12" t="s">
        <v>88</v>
      </c>
      <c r="I12" s="12" t="s">
        <v>38</v>
      </c>
      <c r="J12" s="12" t="s">
        <v>39</v>
      </c>
      <c r="K12" s="13">
        <v>46073.0</v>
      </c>
      <c r="L12" s="13">
        <v>46080.0</v>
      </c>
      <c r="M12" s="12">
        <v>7.0</v>
      </c>
      <c r="N12" s="12"/>
      <c r="O12" s="12"/>
    </row>
    <row r="13" ht="15.75" customHeight="1">
      <c r="A13" s="9" t="s">
        <v>19</v>
      </c>
      <c r="B13" s="9" t="s">
        <v>89</v>
      </c>
      <c r="C13" s="9" t="s">
        <v>90</v>
      </c>
      <c r="D13" s="9" t="s">
        <v>91</v>
      </c>
      <c r="E13" s="9" t="s">
        <v>34</v>
      </c>
      <c r="F13" s="9" t="s">
        <v>24</v>
      </c>
      <c r="G13" s="9" t="s">
        <v>92</v>
      </c>
      <c r="H13" s="9" t="s">
        <v>93</v>
      </c>
      <c r="I13" s="9" t="s">
        <v>38</v>
      </c>
      <c r="J13" s="9" t="s">
        <v>28</v>
      </c>
      <c r="K13" s="10">
        <v>46060.0</v>
      </c>
      <c r="L13" s="10"/>
      <c r="M13" s="9"/>
      <c r="N13" s="9" t="s">
        <v>29</v>
      </c>
      <c r="O13" s="9"/>
    </row>
    <row r="14" ht="15.75" customHeight="1">
      <c r="A14" s="12" t="s">
        <v>62</v>
      </c>
      <c r="B14" s="12" t="s">
        <v>94</v>
      </c>
      <c r="C14" s="12" t="s">
        <v>95</v>
      </c>
      <c r="D14" s="12" t="s">
        <v>96</v>
      </c>
      <c r="E14" s="12" t="s">
        <v>97</v>
      </c>
      <c r="F14" s="12" t="s">
        <v>35</v>
      </c>
      <c r="G14" s="12" t="s">
        <v>98</v>
      </c>
      <c r="H14" s="12" t="s">
        <v>99</v>
      </c>
      <c r="I14" s="12" t="s">
        <v>38</v>
      </c>
      <c r="J14" s="12" t="s">
        <v>28</v>
      </c>
      <c r="K14" s="13">
        <v>46065.0</v>
      </c>
      <c r="L14" s="13"/>
      <c r="M14" s="12"/>
      <c r="N14" s="12" t="s">
        <v>29</v>
      </c>
      <c r="O14" s="12"/>
    </row>
    <row r="15" ht="15.75" customHeight="1">
      <c r="A15" s="9" t="s">
        <v>62</v>
      </c>
      <c r="B15" s="9" t="s">
        <v>100</v>
      </c>
      <c r="C15" s="9" t="s">
        <v>101</v>
      </c>
      <c r="D15" s="9" t="s">
        <v>102</v>
      </c>
      <c r="E15" s="9" t="s">
        <v>97</v>
      </c>
      <c r="F15" s="9" t="s">
        <v>45</v>
      </c>
      <c r="G15" s="9" t="s">
        <v>103</v>
      </c>
      <c r="H15" s="9" t="s">
        <v>104</v>
      </c>
      <c r="I15" s="9" t="s">
        <v>38</v>
      </c>
      <c r="J15" s="9" t="s">
        <v>48</v>
      </c>
      <c r="K15" s="10">
        <v>46056.0</v>
      </c>
      <c r="L15" s="10"/>
      <c r="M15" s="9"/>
      <c r="N15" s="9" t="s">
        <v>29</v>
      </c>
      <c r="O15" s="9"/>
    </row>
    <row r="16" ht="15.75" customHeight="1">
      <c r="A16" s="12" t="s">
        <v>30</v>
      </c>
      <c r="B16" s="12" t="s">
        <v>105</v>
      </c>
      <c r="C16" s="12" t="s">
        <v>106</v>
      </c>
      <c r="D16" s="12" t="s">
        <v>107</v>
      </c>
      <c r="E16" s="12" t="s">
        <v>23</v>
      </c>
      <c r="F16" s="12" t="s">
        <v>35</v>
      </c>
      <c r="G16" s="12" t="s">
        <v>108</v>
      </c>
      <c r="H16" s="12" t="s">
        <v>109</v>
      </c>
      <c r="I16" s="12" t="s">
        <v>55</v>
      </c>
      <c r="J16" s="12" t="s">
        <v>39</v>
      </c>
      <c r="K16" s="13">
        <v>46037.0</v>
      </c>
      <c r="L16" s="13">
        <v>46039.0</v>
      </c>
      <c r="M16" s="12">
        <v>2.0</v>
      </c>
      <c r="N16" s="12"/>
      <c r="O16" s="12"/>
    </row>
    <row r="17" ht="15.75" customHeight="1">
      <c r="A17" s="9" t="s">
        <v>19</v>
      </c>
      <c r="B17" s="9" t="s">
        <v>110</v>
      </c>
      <c r="C17" s="9" t="s">
        <v>111</v>
      </c>
      <c r="D17" s="9" t="s">
        <v>112</v>
      </c>
      <c r="E17" s="9" t="s">
        <v>59</v>
      </c>
      <c r="F17" s="9" t="s">
        <v>45</v>
      </c>
      <c r="G17" s="9" t="s">
        <v>113</v>
      </c>
      <c r="H17" s="9" t="s">
        <v>114</v>
      </c>
      <c r="I17" s="9" t="s">
        <v>55</v>
      </c>
      <c r="J17" s="9" t="s">
        <v>39</v>
      </c>
      <c r="K17" s="10">
        <v>46045.0</v>
      </c>
      <c r="L17" s="10">
        <v>46052.0</v>
      </c>
      <c r="M17" s="9">
        <v>7.0</v>
      </c>
      <c r="N17" s="9"/>
      <c r="O17" s="9"/>
    </row>
    <row r="18" ht="15.75" customHeight="1">
      <c r="A18" s="12" t="s">
        <v>115</v>
      </c>
      <c r="B18" s="12" t="s">
        <v>116</v>
      </c>
      <c r="C18" s="12" t="s">
        <v>117</v>
      </c>
      <c r="D18" s="12" t="s">
        <v>91</v>
      </c>
      <c r="E18" s="12" t="s">
        <v>118</v>
      </c>
      <c r="F18" s="12" t="s">
        <v>24</v>
      </c>
      <c r="G18" s="12" t="s">
        <v>119</v>
      </c>
      <c r="H18" s="12" t="s">
        <v>93</v>
      </c>
      <c r="I18" s="12" t="s">
        <v>55</v>
      </c>
      <c r="J18" s="12" t="s">
        <v>48</v>
      </c>
      <c r="K18" s="13">
        <v>46080.0</v>
      </c>
      <c r="L18" s="13"/>
      <c r="M18" s="12"/>
      <c r="N18" s="12"/>
      <c r="O18" s="12"/>
    </row>
    <row r="19" ht="15.75" customHeight="1">
      <c r="A19" s="9" t="s">
        <v>30</v>
      </c>
      <c r="B19" s="9" t="s">
        <v>120</v>
      </c>
      <c r="C19" s="9" t="s">
        <v>121</v>
      </c>
      <c r="D19" s="9" t="s">
        <v>122</v>
      </c>
      <c r="E19" s="9" t="s">
        <v>118</v>
      </c>
      <c r="F19" s="9" t="s">
        <v>35</v>
      </c>
      <c r="G19" s="9" t="s">
        <v>123</v>
      </c>
      <c r="H19" s="9" t="s">
        <v>124</v>
      </c>
      <c r="I19" s="9" t="s">
        <v>55</v>
      </c>
      <c r="J19" s="9" t="s">
        <v>28</v>
      </c>
      <c r="K19" s="10">
        <v>46029.0</v>
      </c>
      <c r="L19" s="10"/>
      <c r="M19" s="9"/>
      <c r="N19" s="9" t="s">
        <v>125</v>
      </c>
      <c r="O19" s="9"/>
    </row>
    <row r="20" ht="15.75" customHeight="1">
      <c r="A20" s="12" t="s">
        <v>62</v>
      </c>
      <c r="B20" s="12" t="s">
        <v>126</v>
      </c>
      <c r="C20" s="12" t="s">
        <v>127</v>
      </c>
      <c r="D20" s="12" t="s">
        <v>128</v>
      </c>
      <c r="E20" s="12" t="s">
        <v>52</v>
      </c>
      <c r="F20" s="12" t="s">
        <v>35</v>
      </c>
      <c r="G20" s="12" t="s">
        <v>129</v>
      </c>
      <c r="H20" s="12" t="s">
        <v>130</v>
      </c>
      <c r="I20" s="12" t="s">
        <v>27</v>
      </c>
      <c r="J20" s="12" t="s">
        <v>39</v>
      </c>
      <c r="K20" s="13">
        <v>46059.0</v>
      </c>
      <c r="L20" s="13">
        <v>46069.0</v>
      </c>
      <c r="M20" s="12">
        <v>10.0</v>
      </c>
      <c r="N20" s="12"/>
      <c r="O20" s="12"/>
    </row>
    <row r="21" ht="15.75" customHeight="1">
      <c r="A21" s="9" t="s">
        <v>115</v>
      </c>
      <c r="B21" s="9" t="s">
        <v>131</v>
      </c>
      <c r="C21" s="9" t="s">
        <v>132</v>
      </c>
      <c r="D21" s="9" t="s">
        <v>107</v>
      </c>
      <c r="E21" s="9" t="s">
        <v>118</v>
      </c>
      <c r="F21" s="9" t="s">
        <v>24</v>
      </c>
      <c r="G21" s="9" t="s">
        <v>133</v>
      </c>
      <c r="H21" s="9" t="s">
        <v>109</v>
      </c>
      <c r="I21" s="9" t="s">
        <v>55</v>
      </c>
      <c r="J21" s="9" t="s">
        <v>28</v>
      </c>
      <c r="K21" s="10">
        <v>46046.0</v>
      </c>
      <c r="L21" s="10"/>
      <c r="M21" s="9"/>
      <c r="N21" s="9" t="s">
        <v>125</v>
      </c>
      <c r="O21" s="9"/>
    </row>
    <row r="22" ht="15.75" customHeight="1">
      <c r="A22" s="12" t="s">
        <v>62</v>
      </c>
      <c r="B22" s="12" t="s">
        <v>134</v>
      </c>
      <c r="C22" s="12" t="s">
        <v>135</v>
      </c>
      <c r="D22" s="12" t="s">
        <v>136</v>
      </c>
      <c r="E22" s="12" t="s">
        <v>52</v>
      </c>
      <c r="F22" s="12" t="s">
        <v>45</v>
      </c>
      <c r="G22" s="12" t="s">
        <v>137</v>
      </c>
      <c r="H22" s="12" t="s">
        <v>138</v>
      </c>
      <c r="I22" s="12" t="s">
        <v>38</v>
      </c>
      <c r="J22" s="12" t="s">
        <v>48</v>
      </c>
      <c r="K22" s="13">
        <v>46068.0</v>
      </c>
      <c r="L22" s="13"/>
      <c r="M22" s="12"/>
      <c r="N22" s="12"/>
      <c r="O22" s="12"/>
    </row>
    <row r="23" ht="15.75" customHeight="1">
      <c r="A23" s="9" t="s">
        <v>19</v>
      </c>
      <c r="B23" s="9" t="s">
        <v>139</v>
      </c>
      <c r="C23" s="9" t="s">
        <v>140</v>
      </c>
      <c r="D23" s="9" t="s">
        <v>58</v>
      </c>
      <c r="E23" s="9" t="s">
        <v>71</v>
      </c>
      <c r="F23" s="9" t="s">
        <v>45</v>
      </c>
      <c r="G23" s="9" t="s">
        <v>141</v>
      </c>
      <c r="H23" s="9" t="s">
        <v>61</v>
      </c>
      <c r="I23" s="9" t="s">
        <v>38</v>
      </c>
      <c r="J23" s="9" t="s">
        <v>48</v>
      </c>
      <c r="K23" s="10">
        <v>46038.0</v>
      </c>
      <c r="L23" s="10"/>
      <c r="M23" s="9"/>
      <c r="N23" s="9" t="s">
        <v>125</v>
      </c>
      <c r="O23" s="9"/>
    </row>
    <row r="24" ht="15.75" customHeight="1">
      <c r="A24" s="12" t="s">
        <v>115</v>
      </c>
      <c r="B24" s="12" t="s">
        <v>142</v>
      </c>
      <c r="C24" s="12" t="s">
        <v>143</v>
      </c>
      <c r="D24" s="12" t="s">
        <v>58</v>
      </c>
      <c r="E24" s="12" t="s">
        <v>97</v>
      </c>
      <c r="F24" s="12" t="s">
        <v>45</v>
      </c>
      <c r="G24" s="12" t="s">
        <v>144</v>
      </c>
      <c r="H24" s="12" t="s">
        <v>61</v>
      </c>
      <c r="I24" s="12" t="s">
        <v>55</v>
      </c>
      <c r="J24" s="12" t="s">
        <v>39</v>
      </c>
      <c r="K24" s="13">
        <v>46078.0</v>
      </c>
      <c r="L24" s="13">
        <v>46088.0</v>
      </c>
      <c r="M24" s="12">
        <v>10.0</v>
      </c>
      <c r="N24" s="12"/>
      <c r="O24" s="12"/>
    </row>
    <row r="25" ht="15.75" customHeight="1">
      <c r="A25" s="9" t="s">
        <v>30</v>
      </c>
      <c r="B25" s="9" t="s">
        <v>145</v>
      </c>
      <c r="C25" s="9" t="s">
        <v>146</v>
      </c>
      <c r="D25" s="9" t="s">
        <v>147</v>
      </c>
      <c r="E25" s="9" t="s">
        <v>44</v>
      </c>
      <c r="F25" s="9" t="s">
        <v>24</v>
      </c>
      <c r="G25" s="9" t="s">
        <v>148</v>
      </c>
      <c r="H25" s="9" t="s">
        <v>149</v>
      </c>
      <c r="I25" s="9" t="s">
        <v>55</v>
      </c>
      <c r="J25" s="9" t="s">
        <v>39</v>
      </c>
      <c r="K25" s="10">
        <v>46028.0</v>
      </c>
      <c r="L25" s="10">
        <v>46038.0</v>
      </c>
      <c r="M25" s="9">
        <v>10.0</v>
      </c>
      <c r="N25" s="9"/>
      <c r="O25" s="9"/>
    </row>
    <row r="26" ht="15.75" customHeight="1">
      <c r="A26" s="12" t="s">
        <v>40</v>
      </c>
      <c r="B26" s="12" t="s">
        <v>150</v>
      </c>
      <c r="C26" s="12" t="s">
        <v>151</v>
      </c>
      <c r="D26" s="12" t="s">
        <v>152</v>
      </c>
      <c r="E26" s="12" t="s">
        <v>52</v>
      </c>
      <c r="F26" s="12" t="s">
        <v>24</v>
      </c>
      <c r="G26" s="12" t="s">
        <v>153</v>
      </c>
      <c r="H26" s="12" t="s">
        <v>154</v>
      </c>
      <c r="I26" s="12" t="s">
        <v>27</v>
      </c>
      <c r="J26" s="12" t="s">
        <v>28</v>
      </c>
      <c r="K26" s="13">
        <v>46028.0</v>
      </c>
      <c r="L26" s="13"/>
      <c r="M26" s="12"/>
      <c r="N26" s="12" t="s">
        <v>125</v>
      </c>
      <c r="O26" s="12"/>
    </row>
    <row r="27" ht="15.75" customHeight="1">
      <c r="A27" s="9" t="s">
        <v>30</v>
      </c>
      <c r="B27" s="9" t="s">
        <v>155</v>
      </c>
      <c r="C27" s="9" t="s">
        <v>140</v>
      </c>
      <c r="D27" s="9" t="s">
        <v>156</v>
      </c>
      <c r="E27" s="9" t="s">
        <v>97</v>
      </c>
      <c r="F27" s="9" t="s">
        <v>24</v>
      </c>
      <c r="G27" s="9" t="s">
        <v>157</v>
      </c>
      <c r="H27" s="9" t="s">
        <v>158</v>
      </c>
      <c r="I27" s="9" t="s">
        <v>38</v>
      </c>
      <c r="J27" s="9" t="s">
        <v>39</v>
      </c>
      <c r="K27" s="10">
        <v>46038.0</v>
      </c>
      <c r="L27" s="10">
        <v>46047.0</v>
      </c>
      <c r="M27" s="9">
        <v>9.0</v>
      </c>
      <c r="N27" s="9"/>
      <c r="O27" s="9"/>
    </row>
    <row r="28" ht="15.75" customHeight="1">
      <c r="A28" s="12" t="s">
        <v>40</v>
      </c>
      <c r="B28" s="12" t="s">
        <v>159</v>
      </c>
      <c r="C28" s="12" t="s">
        <v>160</v>
      </c>
      <c r="D28" s="12" t="s">
        <v>161</v>
      </c>
      <c r="E28" s="12" t="s">
        <v>71</v>
      </c>
      <c r="F28" s="12" t="s">
        <v>45</v>
      </c>
      <c r="G28" s="12" t="s">
        <v>162</v>
      </c>
      <c r="H28" s="12" t="s">
        <v>163</v>
      </c>
      <c r="I28" s="12" t="s">
        <v>55</v>
      </c>
      <c r="J28" s="12" t="s">
        <v>28</v>
      </c>
      <c r="K28" s="13">
        <v>46055.0</v>
      </c>
      <c r="L28" s="13"/>
      <c r="M28" s="12"/>
      <c r="N28" s="12" t="s">
        <v>29</v>
      </c>
      <c r="O28" s="12"/>
    </row>
    <row r="29" ht="15.75" customHeight="1">
      <c r="A29" s="9" t="s">
        <v>30</v>
      </c>
      <c r="B29" s="9" t="s">
        <v>164</v>
      </c>
      <c r="C29" s="9" t="s">
        <v>165</v>
      </c>
      <c r="D29" s="9" t="s">
        <v>166</v>
      </c>
      <c r="E29" s="9" t="s">
        <v>71</v>
      </c>
      <c r="F29" s="9" t="s">
        <v>24</v>
      </c>
      <c r="G29" s="9" t="s">
        <v>167</v>
      </c>
      <c r="H29" s="9" t="s">
        <v>168</v>
      </c>
      <c r="I29" s="9" t="s">
        <v>38</v>
      </c>
      <c r="J29" s="9" t="s">
        <v>48</v>
      </c>
      <c r="K29" s="10">
        <v>46034.0</v>
      </c>
      <c r="L29" s="10"/>
      <c r="M29" s="9"/>
      <c r="N29" s="9" t="s">
        <v>125</v>
      </c>
      <c r="O29" s="9"/>
    </row>
    <row r="30" ht="15.75" customHeight="1">
      <c r="A30" s="12" t="s">
        <v>30</v>
      </c>
      <c r="B30" s="12" t="s">
        <v>169</v>
      </c>
      <c r="C30" s="12" t="s">
        <v>170</v>
      </c>
      <c r="D30" s="12" t="s">
        <v>171</v>
      </c>
      <c r="E30" s="12" t="s">
        <v>97</v>
      </c>
      <c r="F30" s="12" t="s">
        <v>24</v>
      </c>
      <c r="G30" s="12" t="s">
        <v>172</v>
      </c>
      <c r="H30" s="12" t="s">
        <v>173</v>
      </c>
      <c r="I30" s="12" t="s">
        <v>38</v>
      </c>
      <c r="J30" s="12" t="s">
        <v>48</v>
      </c>
      <c r="K30" s="13">
        <v>46027.0</v>
      </c>
      <c r="L30" s="13"/>
      <c r="M30" s="12"/>
      <c r="N30" s="12" t="s">
        <v>125</v>
      </c>
      <c r="O30" s="12"/>
    </row>
    <row r="31" ht="15.75" customHeight="1">
      <c r="A31" s="9" t="s">
        <v>19</v>
      </c>
      <c r="B31" s="9" t="s">
        <v>174</v>
      </c>
      <c r="C31" s="9" t="s">
        <v>175</v>
      </c>
      <c r="D31" s="9" t="s">
        <v>91</v>
      </c>
      <c r="E31" s="9" t="s">
        <v>23</v>
      </c>
      <c r="F31" s="9" t="s">
        <v>35</v>
      </c>
      <c r="G31" s="9" t="s">
        <v>176</v>
      </c>
      <c r="H31" s="9" t="s">
        <v>93</v>
      </c>
      <c r="I31" s="9" t="s">
        <v>38</v>
      </c>
      <c r="J31" s="9" t="s">
        <v>28</v>
      </c>
      <c r="K31" s="10">
        <v>46031.0</v>
      </c>
      <c r="L31" s="10"/>
      <c r="M31" s="9"/>
      <c r="N31" s="9" t="s">
        <v>125</v>
      </c>
      <c r="O31" s="9"/>
    </row>
    <row r="32" ht="15.75" customHeight="1">
      <c r="A32" s="12" t="s">
        <v>30</v>
      </c>
      <c r="B32" s="12" t="s">
        <v>177</v>
      </c>
      <c r="C32" s="12" t="s">
        <v>178</v>
      </c>
      <c r="D32" s="12" t="s">
        <v>179</v>
      </c>
      <c r="E32" s="12" t="s">
        <v>118</v>
      </c>
      <c r="F32" s="12" t="s">
        <v>35</v>
      </c>
      <c r="G32" s="12" t="s">
        <v>180</v>
      </c>
      <c r="H32" s="12" t="s">
        <v>181</v>
      </c>
      <c r="I32" s="12" t="s">
        <v>27</v>
      </c>
      <c r="J32" s="12" t="s">
        <v>48</v>
      </c>
      <c r="K32" s="13">
        <v>46039.0</v>
      </c>
      <c r="L32" s="13"/>
      <c r="M32" s="12"/>
      <c r="N32" s="12" t="s">
        <v>125</v>
      </c>
      <c r="O32" s="12"/>
    </row>
    <row r="33" ht="15.75" customHeight="1">
      <c r="A33" s="9" t="s">
        <v>115</v>
      </c>
      <c r="B33" s="9" t="s">
        <v>182</v>
      </c>
      <c r="C33" s="9" t="s">
        <v>143</v>
      </c>
      <c r="D33" s="9" t="s">
        <v>75</v>
      </c>
      <c r="E33" s="9" t="s">
        <v>34</v>
      </c>
      <c r="F33" s="9" t="s">
        <v>24</v>
      </c>
      <c r="G33" s="9" t="s">
        <v>183</v>
      </c>
      <c r="H33" s="9" t="s">
        <v>77</v>
      </c>
      <c r="I33" s="9" t="s">
        <v>55</v>
      </c>
      <c r="J33" s="9" t="s">
        <v>39</v>
      </c>
      <c r="K33" s="10">
        <v>46069.0</v>
      </c>
      <c r="L33" s="10">
        <v>46071.0</v>
      </c>
      <c r="M33" s="9">
        <v>2.0</v>
      </c>
      <c r="N33" s="9"/>
      <c r="O33" s="9"/>
    </row>
    <row r="34" ht="15.75" customHeight="1">
      <c r="A34" s="12" t="s">
        <v>62</v>
      </c>
      <c r="B34" s="12" t="s">
        <v>184</v>
      </c>
      <c r="C34" s="12" t="s">
        <v>32</v>
      </c>
      <c r="D34" s="12" t="s">
        <v>185</v>
      </c>
      <c r="E34" s="12" t="s">
        <v>186</v>
      </c>
      <c r="F34" s="12" t="s">
        <v>45</v>
      </c>
      <c r="G34" s="12" t="s">
        <v>187</v>
      </c>
      <c r="H34" s="12" t="s">
        <v>188</v>
      </c>
      <c r="I34" s="12" t="s">
        <v>38</v>
      </c>
      <c r="J34" s="12" t="s">
        <v>39</v>
      </c>
      <c r="K34" s="13">
        <v>46076.0</v>
      </c>
      <c r="L34" s="13">
        <v>46078.0</v>
      </c>
      <c r="M34" s="12">
        <v>2.0</v>
      </c>
      <c r="N34" s="12"/>
      <c r="O34" s="12"/>
    </row>
    <row r="35" ht="15.75" customHeight="1">
      <c r="A35" s="9" t="s">
        <v>115</v>
      </c>
      <c r="B35" s="9" t="s">
        <v>189</v>
      </c>
      <c r="C35" s="9" t="s">
        <v>190</v>
      </c>
      <c r="D35" s="9" t="s">
        <v>191</v>
      </c>
      <c r="E35" s="9" t="s">
        <v>23</v>
      </c>
      <c r="F35" s="9" t="s">
        <v>45</v>
      </c>
      <c r="G35" s="9" t="s">
        <v>192</v>
      </c>
      <c r="H35" s="9" t="s">
        <v>193</v>
      </c>
      <c r="I35" s="9" t="s">
        <v>27</v>
      </c>
      <c r="J35" s="9" t="s">
        <v>28</v>
      </c>
      <c r="K35" s="10">
        <v>46030.0</v>
      </c>
      <c r="L35" s="10"/>
      <c r="M35" s="9"/>
      <c r="N35" s="9" t="s">
        <v>125</v>
      </c>
      <c r="O35" s="9"/>
    </row>
    <row r="36" ht="15.75" customHeight="1">
      <c r="A36" s="12" t="s">
        <v>19</v>
      </c>
      <c r="B36" s="12" t="s">
        <v>194</v>
      </c>
      <c r="C36" s="12" t="s">
        <v>195</v>
      </c>
      <c r="D36" s="12" t="s">
        <v>196</v>
      </c>
      <c r="E36" s="12" t="s">
        <v>23</v>
      </c>
      <c r="F36" s="12" t="s">
        <v>35</v>
      </c>
      <c r="G36" s="12" t="s">
        <v>197</v>
      </c>
      <c r="H36" s="12" t="s">
        <v>198</v>
      </c>
      <c r="I36" s="12" t="s">
        <v>38</v>
      </c>
      <c r="J36" s="12" t="s">
        <v>28</v>
      </c>
      <c r="K36" s="13">
        <v>46059.0</v>
      </c>
      <c r="L36" s="13"/>
      <c r="M36" s="12"/>
      <c r="N36" s="12" t="s">
        <v>29</v>
      </c>
      <c r="O36" s="12"/>
    </row>
    <row r="37" ht="15.75" customHeight="1">
      <c r="A37" s="9" t="s">
        <v>62</v>
      </c>
      <c r="B37" s="9" t="s">
        <v>199</v>
      </c>
      <c r="C37" s="9" t="s">
        <v>200</v>
      </c>
      <c r="D37" s="9" t="s">
        <v>185</v>
      </c>
      <c r="E37" s="9" t="s">
        <v>97</v>
      </c>
      <c r="F37" s="9" t="s">
        <v>45</v>
      </c>
      <c r="G37" s="9" t="s">
        <v>201</v>
      </c>
      <c r="H37" s="9" t="s">
        <v>188</v>
      </c>
      <c r="I37" s="9" t="s">
        <v>27</v>
      </c>
      <c r="J37" s="9" t="s">
        <v>28</v>
      </c>
      <c r="K37" s="10">
        <v>46078.0</v>
      </c>
      <c r="L37" s="10"/>
      <c r="M37" s="9"/>
      <c r="N37" s="9"/>
      <c r="O37" s="9"/>
    </row>
    <row r="38" ht="15.75" customHeight="1">
      <c r="A38" s="12" t="s">
        <v>19</v>
      </c>
      <c r="B38" s="12" t="s">
        <v>202</v>
      </c>
      <c r="C38" s="12" t="s">
        <v>203</v>
      </c>
      <c r="D38" s="12" t="s">
        <v>204</v>
      </c>
      <c r="E38" s="12" t="s">
        <v>44</v>
      </c>
      <c r="F38" s="12" t="s">
        <v>24</v>
      </c>
      <c r="G38" s="12" t="s">
        <v>205</v>
      </c>
      <c r="H38" s="12" t="s">
        <v>206</v>
      </c>
      <c r="I38" s="12" t="s">
        <v>55</v>
      </c>
      <c r="J38" s="12" t="s">
        <v>48</v>
      </c>
      <c r="K38" s="13">
        <v>46068.0</v>
      </c>
      <c r="L38" s="13"/>
      <c r="M38" s="12"/>
      <c r="N38" s="12"/>
      <c r="O38" s="12"/>
    </row>
    <row r="39" ht="15.75" customHeight="1">
      <c r="A39" s="9" t="s">
        <v>30</v>
      </c>
      <c r="B39" s="9" t="s">
        <v>207</v>
      </c>
      <c r="C39" s="9" t="s">
        <v>175</v>
      </c>
      <c r="D39" s="9" t="s">
        <v>208</v>
      </c>
      <c r="E39" s="9" t="s">
        <v>186</v>
      </c>
      <c r="F39" s="9" t="s">
        <v>45</v>
      </c>
      <c r="G39" s="9" t="s">
        <v>209</v>
      </c>
      <c r="H39" s="9" t="s">
        <v>210</v>
      </c>
      <c r="I39" s="9" t="s">
        <v>38</v>
      </c>
      <c r="J39" s="9" t="s">
        <v>39</v>
      </c>
      <c r="K39" s="10">
        <v>46079.0</v>
      </c>
      <c r="L39" s="10">
        <v>46081.0</v>
      </c>
      <c r="M39" s="9">
        <v>2.0</v>
      </c>
      <c r="N39" s="9"/>
      <c r="O39" s="9"/>
    </row>
    <row r="40" ht="15.75" customHeight="1">
      <c r="A40" s="12" t="s">
        <v>19</v>
      </c>
      <c r="B40" s="12" t="s">
        <v>211</v>
      </c>
      <c r="C40" s="12" t="s">
        <v>212</v>
      </c>
      <c r="D40" s="12" t="s">
        <v>122</v>
      </c>
      <c r="E40" s="12" t="s">
        <v>186</v>
      </c>
      <c r="F40" s="12" t="s">
        <v>45</v>
      </c>
      <c r="G40" s="12" t="s">
        <v>213</v>
      </c>
      <c r="H40" s="12" t="s">
        <v>124</v>
      </c>
      <c r="I40" s="12" t="s">
        <v>55</v>
      </c>
      <c r="J40" s="12" t="s">
        <v>48</v>
      </c>
      <c r="K40" s="13">
        <v>46038.0</v>
      </c>
      <c r="L40" s="13"/>
      <c r="M40" s="12"/>
      <c r="N40" s="12" t="s">
        <v>125</v>
      </c>
      <c r="O40" s="12"/>
    </row>
    <row r="41" ht="15.75" customHeight="1">
      <c r="A41" s="9" t="s">
        <v>40</v>
      </c>
      <c r="B41" s="9" t="s">
        <v>214</v>
      </c>
      <c r="C41" s="9" t="s">
        <v>215</v>
      </c>
      <c r="D41" s="9" t="s">
        <v>58</v>
      </c>
      <c r="E41" s="9" t="s">
        <v>81</v>
      </c>
      <c r="F41" s="9" t="s">
        <v>45</v>
      </c>
      <c r="G41" s="9" t="s">
        <v>216</v>
      </c>
      <c r="H41" s="9" t="s">
        <v>61</v>
      </c>
      <c r="I41" s="9" t="s">
        <v>55</v>
      </c>
      <c r="J41" s="9" t="s">
        <v>39</v>
      </c>
      <c r="K41" s="10">
        <v>46065.0</v>
      </c>
      <c r="L41" s="10">
        <v>46075.0</v>
      </c>
      <c r="M41" s="9">
        <v>10.0</v>
      </c>
      <c r="N41" s="9"/>
      <c r="O41" s="9"/>
    </row>
    <row r="42" ht="15.75" customHeight="1">
      <c r="A42" s="12" t="s">
        <v>62</v>
      </c>
      <c r="B42" s="12" t="s">
        <v>217</v>
      </c>
      <c r="C42" s="12" t="s">
        <v>218</v>
      </c>
      <c r="D42" s="12" t="s">
        <v>219</v>
      </c>
      <c r="E42" s="12" t="s">
        <v>34</v>
      </c>
      <c r="F42" s="12" t="s">
        <v>45</v>
      </c>
      <c r="G42" s="12" t="s">
        <v>220</v>
      </c>
      <c r="H42" s="12" t="s">
        <v>221</v>
      </c>
      <c r="I42" s="12" t="s">
        <v>27</v>
      </c>
      <c r="J42" s="12" t="s">
        <v>28</v>
      </c>
      <c r="K42" s="13">
        <v>46030.0</v>
      </c>
      <c r="L42" s="13"/>
      <c r="M42" s="12"/>
      <c r="N42" s="12" t="s">
        <v>125</v>
      </c>
      <c r="O42" s="12"/>
    </row>
    <row r="43" ht="15.75" customHeight="1">
      <c r="A43" s="9" t="s">
        <v>19</v>
      </c>
      <c r="B43" s="9" t="s">
        <v>222</v>
      </c>
      <c r="C43" s="9" t="s">
        <v>50</v>
      </c>
      <c r="D43" s="9" t="s">
        <v>223</v>
      </c>
      <c r="E43" s="9" t="s">
        <v>59</v>
      </c>
      <c r="F43" s="9" t="s">
        <v>35</v>
      </c>
      <c r="G43" s="9" t="s">
        <v>224</v>
      </c>
      <c r="H43" s="9" t="s">
        <v>225</v>
      </c>
      <c r="I43" s="9" t="s">
        <v>38</v>
      </c>
      <c r="J43" s="9" t="s">
        <v>28</v>
      </c>
      <c r="K43" s="10">
        <v>46060.0</v>
      </c>
      <c r="L43" s="10"/>
      <c r="M43" s="9"/>
      <c r="N43" s="9" t="s">
        <v>29</v>
      </c>
      <c r="O43" s="9"/>
    </row>
    <row r="44" ht="15.75" customHeight="1">
      <c r="A44" s="12" t="s">
        <v>30</v>
      </c>
      <c r="B44" s="12" t="s">
        <v>226</v>
      </c>
      <c r="C44" s="12" t="s">
        <v>227</v>
      </c>
      <c r="D44" s="12" t="s">
        <v>33</v>
      </c>
      <c r="E44" s="12" t="s">
        <v>59</v>
      </c>
      <c r="F44" s="12" t="s">
        <v>24</v>
      </c>
      <c r="G44" s="12" t="s">
        <v>228</v>
      </c>
      <c r="H44" s="12" t="s">
        <v>37</v>
      </c>
      <c r="I44" s="12" t="s">
        <v>38</v>
      </c>
      <c r="J44" s="12" t="s">
        <v>48</v>
      </c>
      <c r="K44" s="13">
        <v>46050.0</v>
      </c>
      <c r="L44" s="13"/>
      <c r="M44" s="12"/>
      <c r="N44" s="12" t="s">
        <v>125</v>
      </c>
      <c r="O44" s="12"/>
    </row>
    <row r="45" ht="15.75" customHeight="1">
      <c r="A45" s="9" t="s">
        <v>30</v>
      </c>
      <c r="B45" s="9" t="s">
        <v>229</v>
      </c>
      <c r="C45" s="9" t="s">
        <v>212</v>
      </c>
      <c r="D45" s="9" t="s">
        <v>230</v>
      </c>
      <c r="E45" s="9" t="s">
        <v>44</v>
      </c>
      <c r="F45" s="9" t="s">
        <v>35</v>
      </c>
      <c r="G45" s="9" t="s">
        <v>231</v>
      </c>
      <c r="H45" s="9" t="s">
        <v>232</v>
      </c>
      <c r="I45" s="9" t="s">
        <v>27</v>
      </c>
      <c r="J45" s="9" t="s">
        <v>28</v>
      </c>
      <c r="K45" s="10">
        <v>46049.0</v>
      </c>
      <c r="L45" s="10"/>
      <c r="M45" s="9"/>
      <c r="N45" s="9" t="s">
        <v>125</v>
      </c>
      <c r="O45" s="9"/>
    </row>
    <row r="46" ht="15.75" customHeight="1">
      <c r="A46" s="12" t="s">
        <v>30</v>
      </c>
      <c r="B46" s="12" t="s">
        <v>233</v>
      </c>
      <c r="C46" s="12" t="s">
        <v>234</v>
      </c>
      <c r="D46" s="12" t="s">
        <v>235</v>
      </c>
      <c r="E46" s="12" t="s">
        <v>34</v>
      </c>
      <c r="F46" s="12" t="s">
        <v>24</v>
      </c>
      <c r="G46" s="12" t="s">
        <v>236</v>
      </c>
      <c r="H46" s="12" t="s">
        <v>237</v>
      </c>
      <c r="I46" s="12" t="s">
        <v>55</v>
      </c>
      <c r="J46" s="12" t="s">
        <v>39</v>
      </c>
      <c r="K46" s="13">
        <v>46062.0</v>
      </c>
      <c r="L46" s="13">
        <v>46068.0</v>
      </c>
      <c r="M46" s="12">
        <v>6.0</v>
      </c>
      <c r="N46" s="12"/>
      <c r="O46" s="12"/>
    </row>
    <row r="47" ht="15.75" customHeight="1">
      <c r="A47" s="9" t="s">
        <v>30</v>
      </c>
      <c r="B47" s="9" t="s">
        <v>238</v>
      </c>
      <c r="C47" s="9" t="s">
        <v>239</v>
      </c>
      <c r="D47" s="9" t="s">
        <v>240</v>
      </c>
      <c r="E47" s="9" t="s">
        <v>81</v>
      </c>
      <c r="F47" s="9" t="s">
        <v>35</v>
      </c>
      <c r="G47" s="9" t="s">
        <v>241</v>
      </c>
      <c r="H47" s="9" t="s">
        <v>242</v>
      </c>
      <c r="I47" s="9" t="s">
        <v>38</v>
      </c>
      <c r="J47" s="9" t="s">
        <v>28</v>
      </c>
      <c r="K47" s="10">
        <v>46068.0</v>
      </c>
      <c r="L47" s="10"/>
      <c r="M47" s="9"/>
      <c r="N47" s="9"/>
      <c r="O47" s="9"/>
    </row>
    <row r="48" ht="15.75" customHeight="1">
      <c r="A48" s="12" t="s">
        <v>40</v>
      </c>
      <c r="B48" s="12" t="s">
        <v>243</v>
      </c>
      <c r="C48" s="12" t="s">
        <v>244</v>
      </c>
      <c r="D48" s="12" t="s">
        <v>245</v>
      </c>
      <c r="E48" s="12" t="s">
        <v>97</v>
      </c>
      <c r="F48" s="12" t="s">
        <v>24</v>
      </c>
      <c r="G48" s="12" t="s">
        <v>246</v>
      </c>
      <c r="H48" s="12" t="s">
        <v>247</v>
      </c>
      <c r="I48" s="12" t="s">
        <v>55</v>
      </c>
      <c r="J48" s="12" t="s">
        <v>39</v>
      </c>
      <c r="K48" s="13">
        <v>46075.0</v>
      </c>
      <c r="L48" s="13">
        <v>46077.0</v>
      </c>
      <c r="M48" s="12">
        <v>2.0</v>
      </c>
      <c r="N48" s="12"/>
      <c r="O48" s="12"/>
    </row>
    <row r="49" ht="15.75" customHeight="1">
      <c r="A49" s="9" t="s">
        <v>30</v>
      </c>
      <c r="B49" s="9" t="s">
        <v>248</v>
      </c>
      <c r="C49" s="9" t="s">
        <v>212</v>
      </c>
      <c r="D49" s="9" t="s">
        <v>191</v>
      </c>
      <c r="E49" s="9" t="s">
        <v>59</v>
      </c>
      <c r="F49" s="9" t="s">
        <v>45</v>
      </c>
      <c r="G49" s="9" t="s">
        <v>249</v>
      </c>
      <c r="H49" s="9" t="s">
        <v>193</v>
      </c>
      <c r="I49" s="9" t="s">
        <v>27</v>
      </c>
      <c r="J49" s="9" t="s">
        <v>39</v>
      </c>
      <c r="K49" s="10">
        <v>46050.0</v>
      </c>
      <c r="L49" s="10">
        <v>46059.0</v>
      </c>
      <c r="M49" s="9">
        <v>9.0</v>
      </c>
      <c r="N49" s="9"/>
      <c r="O49" s="9"/>
    </row>
    <row r="50" ht="15.75" customHeight="1">
      <c r="A50" s="12" t="s">
        <v>40</v>
      </c>
      <c r="B50" s="12" t="s">
        <v>250</v>
      </c>
      <c r="C50" s="12" t="s">
        <v>251</v>
      </c>
      <c r="D50" s="12" t="s">
        <v>252</v>
      </c>
      <c r="E50" s="12" t="s">
        <v>59</v>
      </c>
      <c r="F50" s="12" t="s">
        <v>24</v>
      </c>
      <c r="G50" s="12" t="s">
        <v>253</v>
      </c>
      <c r="H50" s="12" t="s">
        <v>254</v>
      </c>
      <c r="I50" s="12" t="s">
        <v>55</v>
      </c>
      <c r="J50" s="12" t="s">
        <v>28</v>
      </c>
      <c r="K50" s="13">
        <v>46023.0</v>
      </c>
      <c r="L50" s="13"/>
      <c r="M50" s="12"/>
      <c r="N50" s="12" t="s">
        <v>125</v>
      </c>
      <c r="O50" s="12"/>
    </row>
    <row r="51" ht="15.75" customHeight="1">
      <c r="A51" s="9" t="s">
        <v>40</v>
      </c>
      <c r="B51" s="9" t="s">
        <v>255</v>
      </c>
      <c r="C51" s="9" t="s">
        <v>95</v>
      </c>
      <c r="D51" s="9" t="s">
        <v>58</v>
      </c>
      <c r="E51" s="9" t="s">
        <v>186</v>
      </c>
      <c r="F51" s="9" t="s">
        <v>35</v>
      </c>
      <c r="G51" s="9" t="s">
        <v>256</v>
      </c>
      <c r="H51" s="9" t="s">
        <v>61</v>
      </c>
      <c r="I51" s="9" t="s">
        <v>27</v>
      </c>
      <c r="J51" s="9" t="s">
        <v>39</v>
      </c>
      <c r="K51" s="10">
        <v>46042.0</v>
      </c>
      <c r="L51" s="10">
        <v>46047.0</v>
      </c>
      <c r="M51" s="9">
        <v>5.0</v>
      </c>
      <c r="N51" s="9"/>
      <c r="O51" s="9"/>
    </row>
    <row r="52" ht="15.75" customHeight="1">
      <c r="A52" s="12" t="s">
        <v>40</v>
      </c>
      <c r="B52" s="12" t="s">
        <v>257</v>
      </c>
      <c r="C52" s="12" t="s">
        <v>258</v>
      </c>
      <c r="D52" s="12" t="s">
        <v>259</v>
      </c>
      <c r="E52" s="12" t="s">
        <v>97</v>
      </c>
      <c r="F52" s="12" t="s">
        <v>35</v>
      </c>
      <c r="G52" s="12" t="s">
        <v>260</v>
      </c>
      <c r="H52" s="12" t="s">
        <v>261</v>
      </c>
      <c r="I52" s="12" t="s">
        <v>27</v>
      </c>
      <c r="J52" s="12" t="s">
        <v>28</v>
      </c>
      <c r="K52" s="13">
        <v>46042.0</v>
      </c>
      <c r="L52" s="13"/>
      <c r="M52" s="12"/>
      <c r="N52" s="12" t="s">
        <v>125</v>
      </c>
      <c r="O52" s="12"/>
    </row>
    <row r="53" ht="15.75" customHeight="1">
      <c r="A53" s="9" t="s">
        <v>40</v>
      </c>
      <c r="B53" s="9" t="s">
        <v>262</v>
      </c>
      <c r="C53" s="9" t="s">
        <v>263</v>
      </c>
      <c r="D53" s="9" t="s">
        <v>264</v>
      </c>
      <c r="E53" s="9" t="s">
        <v>81</v>
      </c>
      <c r="F53" s="9" t="s">
        <v>35</v>
      </c>
      <c r="G53" s="9" t="s">
        <v>265</v>
      </c>
      <c r="H53" s="9" t="s">
        <v>266</v>
      </c>
      <c r="I53" s="9" t="s">
        <v>38</v>
      </c>
      <c r="J53" s="9" t="s">
        <v>39</v>
      </c>
      <c r="K53" s="10">
        <v>46075.0</v>
      </c>
      <c r="L53" s="10">
        <v>46078.0</v>
      </c>
      <c r="M53" s="9">
        <v>3.0</v>
      </c>
      <c r="N53" s="9"/>
      <c r="O53" s="9"/>
    </row>
    <row r="54" ht="15.75" customHeight="1">
      <c r="A54" s="12" t="s">
        <v>19</v>
      </c>
      <c r="B54" s="12" t="s">
        <v>267</v>
      </c>
      <c r="C54" s="12" t="s">
        <v>127</v>
      </c>
      <c r="D54" s="12" t="s">
        <v>268</v>
      </c>
      <c r="E54" s="12" t="s">
        <v>59</v>
      </c>
      <c r="F54" s="12" t="s">
        <v>45</v>
      </c>
      <c r="G54" s="12" t="s">
        <v>269</v>
      </c>
      <c r="H54" s="12" t="s">
        <v>270</v>
      </c>
      <c r="I54" s="12" t="s">
        <v>27</v>
      </c>
      <c r="J54" s="12" t="s">
        <v>48</v>
      </c>
      <c r="K54" s="13">
        <v>46029.0</v>
      </c>
      <c r="L54" s="13"/>
      <c r="M54" s="12"/>
      <c r="N54" s="12" t="s">
        <v>125</v>
      </c>
      <c r="O54" s="12"/>
    </row>
    <row r="55" ht="15.75" customHeight="1">
      <c r="A55" s="9" t="s">
        <v>62</v>
      </c>
      <c r="B55" s="9" t="s">
        <v>271</v>
      </c>
      <c r="C55" s="9" t="s">
        <v>146</v>
      </c>
      <c r="D55" s="9" t="s">
        <v>272</v>
      </c>
      <c r="E55" s="9" t="s">
        <v>52</v>
      </c>
      <c r="F55" s="9" t="s">
        <v>45</v>
      </c>
      <c r="G55" s="9" t="s">
        <v>273</v>
      </c>
      <c r="H55" s="9" t="s">
        <v>274</v>
      </c>
      <c r="I55" s="9" t="s">
        <v>55</v>
      </c>
      <c r="J55" s="9" t="s">
        <v>48</v>
      </c>
      <c r="K55" s="10">
        <v>46042.0</v>
      </c>
      <c r="L55" s="10"/>
      <c r="M55" s="9"/>
      <c r="N55" s="9" t="s">
        <v>125</v>
      </c>
      <c r="O55" s="9"/>
    </row>
    <row r="56" ht="15.75" customHeight="1">
      <c r="A56" s="12" t="s">
        <v>115</v>
      </c>
      <c r="B56" s="12" t="s">
        <v>275</v>
      </c>
      <c r="C56" s="12" t="s">
        <v>276</v>
      </c>
      <c r="D56" s="12" t="s">
        <v>277</v>
      </c>
      <c r="E56" s="12" t="s">
        <v>71</v>
      </c>
      <c r="F56" s="12" t="s">
        <v>24</v>
      </c>
      <c r="G56" s="12" t="s">
        <v>278</v>
      </c>
      <c r="H56" s="12" t="s">
        <v>279</v>
      </c>
      <c r="I56" s="12" t="s">
        <v>55</v>
      </c>
      <c r="J56" s="12" t="s">
        <v>28</v>
      </c>
      <c r="K56" s="13">
        <v>46022.0</v>
      </c>
      <c r="L56" s="13"/>
      <c r="M56" s="12"/>
      <c r="N56" s="12" t="s">
        <v>125</v>
      </c>
      <c r="O56" s="12"/>
    </row>
    <row r="57" ht="15.75" customHeight="1">
      <c r="A57" s="9" t="s">
        <v>19</v>
      </c>
      <c r="B57" s="9" t="s">
        <v>280</v>
      </c>
      <c r="C57" s="9" t="s">
        <v>215</v>
      </c>
      <c r="D57" s="9" t="s">
        <v>281</v>
      </c>
      <c r="E57" s="9" t="s">
        <v>52</v>
      </c>
      <c r="F57" s="9" t="s">
        <v>24</v>
      </c>
      <c r="G57" s="9" t="s">
        <v>282</v>
      </c>
      <c r="H57" s="9" t="s">
        <v>283</v>
      </c>
      <c r="I57" s="9" t="s">
        <v>27</v>
      </c>
      <c r="J57" s="9" t="s">
        <v>39</v>
      </c>
      <c r="K57" s="10">
        <v>46033.0</v>
      </c>
      <c r="L57" s="10">
        <v>46043.0</v>
      </c>
      <c r="M57" s="9">
        <v>10.0</v>
      </c>
      <c r="N57" s="9"/>
      <c r="O57" s="9"/>
    </row>
    <row r="58" ht="15.75" customHeight="1">
      <c r="A58" s="12" t="s">
        <v>115</v>
      </c>
      <c r="B58" s="12" t="s">
        <v>284</v>
      </c>
      <c r="C58" s="12" t="s">
        <v>285</v>
      </c>
      <c r="D58" s="12" t="s">
        <v>286</v>
      </c>
      <c r="E58" s="12" t="s">
        <v>97</v>
      </c>
      <c r="F58" s="12" t="s">
        <v>24</v>
      </c>
      <c r="G58" s="12" t="s">
        <v>287</v>
      </c>
      <c r="H58" s="12" t="s">
        <v>288</v>
      </c>
      <c r="I58" s="12" t="s">
        <v>27</v>
      </c>
      <c r="J58" s="12" t="s">
        <v>48</v>
      </c>
      <c r="K58" s="13">
        <v>46022.0</v>
      </c>
      <c r="L58" s="13"/>
      <c r="M58" s="12"/>
      <c r="N58" s="12" t="s">
        <v>125</v>
      </c>
      <c r="O58" s="12"/>
    </row>
    <row r="59" ht="15.75" customHeight="1">
      <c r="A59" s="9" t="s">
        <v>115</v>
      </c>
      <c r="B59" s="9" t="s">
        <v>289</v>
      </c>
      <c r="C59" s="9" t="s">
        <v>290</v>
      </c>
      <c r="D59" s="9" t="s">
        <v>291</v>
      </c>
      <c r="E59" s="9" t="s">
        <v>118</v>
      </c>
      <c r="F59" s="9" t="s">
        <v>24</v>
      </c>
      <c r="G59" s="9" t="s">
        <v>292</v>
      </c>
      <c r="H59" s="9" t="s">
        <v>293</v>
      </c>
      <c r="I59" s="9" t="s">
        <v>55</v>
      </c>
      <c r="J59" s="9" t="s">
        <v>48</v>
      </c>
      <c r="K59" s="10">
        <v>46065.0</v>
      </c>
      <c r="L59" s="10"/>
      <c r="M59" s="9"/>
      <c r="N59" s="9" t="s">
        <v>29</v>
      </c>
      <c r="O59" s="9"/>
    </row>
    <row r="60" ht="15.75" customHeight="1">
      <c r="A60" s="12" t="s">
        <v>19</v>
      </c>
      <c r="B60" s="12" t="s">
        <v>294</v>
      </c>
      <c r="C60" s="12" t="s">
        <v>295</v>
      </c>
      <c r="D60" s="12" t="s">
        <v>43</v>
      </c>
      <c r="E60" s="12" t="s">
        <v>97</v>
      </c>
      <c r="F60" s="12" t="s">
        <v>45</v>
      </c>
      <c r="G60" s="12" t="s">
        <v>296</v>
      </c>
      <c r="H60" s="12" t="s">
        <v>47</v>
      </c>
      <c r="I60" s="12" t="s">
        <v>55</v>
      </c>
      <c r="J60" s="12" t="s">
        <v>48</v>
      </c>
      <c r="K60" s="13">
        <v>46055.0</v>
      </c>
      <c r="L60" s="13"/>
      <c r="M60" s="12"/>
      <c r="N60" s="12" t="s">
        <v>29</v>
      </c>
      <c r="O60" s="12"/>
    </row>
    <row r="61" ht="15.75" customHeight="1">
      <c r="A61" s="9" t="s">
        <v>115</v>
      </c>
      <c r="B61" s="9" t="s">
        <v>297</v>
      </c>
      <c r="C61" s="9" t="s">
        <v>165</v>
      </c>
      <c r="D61" s="9" t="s">
        <v>298</v>
      </c>
      <c r="E61" s="9" t="s">
        <v>23</v>
      </c>
      <c r="F61" s="9" t="s">
        <v>45</v>
      </c>
      <c r="G61" s="9" t="s">
        <v>299</v>
      </c>
      <c r="H61" s="9" t="s">
        <v>300</v>
      </c>
      <c r="I61" s="9" t="s">
        <v>55</v>
      </c>
      <c r="J61" s="9" t="s">
        <v>48</v>
      </c>
      <c r="K61" s="10">
        <v>46080.0</v>
      </c>
      <c r="L61" s="10"/>
      <c r="M61" s="9"/>
      <c r="N61" s="9"/>
      <c r="O61" s="9"/>
    </row>
    <row r="62" ht="15.75" customHeight="1">
      <c r="A62" s="12" t="s">
        <v>19</v>
      </c>
      <c r="B62" s="12" t="s">
        <v>301</v>
      </c>
      <c r="C62" s="12" t="s">
        <v>295</v>
      </c>
      <c r="D62" s="12" t="s">
        <v>302</v>
      </c>
      <c r="E62" s="12" t="s">
        <v>23</v>
      </c>
      <c r="F62" s="12" t="s">
        <v>45</v>
      </c>
      <c r="G62" s="12" t="s">
        <v>303</v>
      </c>
      <c r="H62" s="12" t="s">
        <v>304</v>
      </c>
      <c r="I62" s="12" t="s">
        <v>55</v>
      </c>
      <c r="J62" s="12" t="s">
        <v>28</v>
      </c>
      <c r="K62" s="13">
        <v>46025.0</v>
      </c>
      <c r="L62" s="13"/>
      <c r="M62" s="12"/>
      <c r="N62" s="12" t="s">
        <v>125</v>
      </c>
      <c r="O62" s="12"/>
    </row>
    <row r="63" ht="15.75" customHeight="1">
      <c r="A63" s="9" t="s">
        <v>115</v>
      </c>
      <c r="B63" s="9" t="s">
        <v>305</v>
      </c>
      <c r="C63" s="9" t="s">
        <v>146</v>
      </c>
      <c r="D63" s="9" t="s">
        <v>204</v>
      </c>
      <c r="E63" s="9" t="s">
        <v>71</v>
      </c>
      <c r="F63" s="9" t="s">
        <v>35</v>
      </c>
      <c r="G63" s="9" t="s">
        <v>306</v>
      </c>
      <c r="H63" s="9" t="s">
        <v>206</v>
      </c>
      <c r="I63" s="9" t="s">
        <v>27</v>
      </c>
      <c r="J63" s="9" t="s">
        <v>48</v>
      </c>
      <c r="K63" s="10">
        <v>46069.0</v>
      </c>
      <c r="L63" s="10"/>
      <c r="M63" s="9"/>
      <c r="N63" s="9"/>
      <c r="O63" s="9"/>
    </row>
    <row r="64" ht="15.75" customHeight="1">
      <c r="A64" s="12" t="s">
        <v>30</v>
      </c>
      <c r="B64" s="12" t="s">
        <v>307</v>
      </c>
      <c r="C64" s="12" t="s">
        <v>239</v>
      </c>
      <c r="D64" s="12" t="s">
        <v>268</v>
      </c>
      <c r="E64" s="12" t="s">
        <v>44</v>
      </c>
      <c r="F64" s="12" t="s">
        <v>45</v>
      </c>
      <c r="G64" s="12" t="s">
        <v>308</v>
      </c>
      <c r="H64" s="12" t="s">
        <v>270</v>
      </c>
      <c r="I64" s="12" t="s">
        <v>38</v>
      </c>
      <c r="J64" s="12" t="s">
        <v>39</v>
      </c>
      <c r="K64" s="13">
        <v>46079.0</v>
      </c>
      <c r="L64" s="13">
        <v>46089.0</v>
      </c>
      <c r="M64" s="12">
        <v>10.0</v>
      </c>
      <c r="N64" s="12"/>
      <c r="O64" s="12"/>
    </row>
    <row r="65" ht="15.75" customHeight="1">
      <c r="A65" s="9" t="s">
        <v>115</v>
      </c>
      <c r="B65" s="9" t="s">
        <v>309</v>
      </c>
      <c r="C65" s="9" t="s">
        <v>140</v>
      </c>
      <c r="D65" s="9" t="s">
        <v>310</v>
      </c>
      <c r="E65" s="9" t="s">
        <v>59</v>
      </c>
      <c r="F65" s="9" t="s">
        <v>35</v>
      </c>
      <c r="G65" s="9" t="s">
        <v>311</v>
      </c>
      <c r="H65" s="9" t="s">
        <v>312</v>
      </c>
      <c r="I65" s="9" t="s">
        <v>38</v>
      </c>
      <c r="J65" s="9" t="s">
        <v>39</v>
      </c>
      <c r="K65" s="10">
        <v>46058.0</v>
      </c>
      <c r="L65" s="10">
        <v>46063.0</v>
      </c>
      <c r="M65" s="9">
        <v>5.0</v>
      </c>
      <c r="N65" s="9"/>
      <c r="O65" s="9"/>
    </row>
    <row r="66" ht="15.75" customHeight="1">
      <c r="A66" s="12" t="s">
        <v>62</v>
      </c>
      <c r="B66" s="12" t="s">
        <v>313</v>
      </c>
      <c r="C66" s="12" t="s">
        <v>218</v>
      </c>
      <c r="D66" s="12" t="s">
        <v>314</v>
      </c>
      <c r="E66" s="12" t="s">
        <v>81</v>
      </c>
      <c r="F66" s="12" t="s">
        <v>35</v>
      </c>
      <c r="G66" s="12" t="s">
        <v>315</v>
      </c>
      <c r="H66" s="12" t="s">
        <v>316</v>
      </c>
      <c r="I66" s="12" t="s">
        <v>27</v>
      </c>
      <c r="J66" s="12" t="s">
        <v>39</v>
      </c>
      <c r="K66" s="13">
        <v>46078.0</v>
      </c>
      <c r="L66" s="13">
        <v>46087.0</v>
      </c>
      <c r="M66" s="12">
        <v>9.0</v>
      </c>
      <c r="N66" s="12"/>
      <c r="O66" s="12"/>
    </row>
    <row r="67" ht="15.75" customHeight="1">
      <c r="A67" s="9" t="s">
        <v>40</v>
      </c>
      <c r="B67" s="9" t="s">
        <v>317</v>
      </c>
      <c r="C67" s="9" t="s">
        <v>318</v>
      </c>
      <c r="D67" s="9" t="s">
        <v>319</v>
      </c>
      <c r="E67" s="9" t="s">
        <v>97</v>
      </c>
      <c r="F67" s="9" t="s">
        <v>24</v>
      </c>
      <c r="G67" s="9" t="s">
        <v>320</v>
      </c>
      <c r="H67" s="9" t="s">
        <v>321</v>
      </c>
      <c r="I67" s="9" t="s">
        <v>27</v>
      </c>
      <c r="J67" s="9" t="s">
        <v>39</v>
      </c>
      <c r="K67" s="10">
        <v>46032.0</v>
      </c>
      <c r="L67" s="10">
        <v>46037.0</v>
      </c>
      <c r="M67" s="9">
        <v>5.0</v>
      </c>
      <c r="N67" s="9"/>
      <c r="O67" s="9"/>
    </row>
    <row r="68" ht="15.75" customHeight="1">
      <c r="A68" s="12" t="s">
        <v>40</v>
      </c>
      <c r="B68" s="12" t="s">
        <v>322</v>
      </c>
      <c r="C68" s="12" t="s">
        <v>323</v>
      </c>
      <c r="D68" s="12" t="s">
        <v>324</v>
      </c>
      <c r="E68" s="12" t="s">
        <v>97</v>
      </c>
      <c r="F68" s="12" t="s">
        <v>24</v>
      </c>
      <c r="G68" s="12" t="s">
        <v>325</v>
      </c>
      <c r="H68" s="12" t="s">
        <v>326</v>
      </c>
      <c r="I68" s="12" t="s">
        <v>55</v>
      </c>
      <c r="J68" s="12" t="s">
        <v>28</v>
      </c>
      <c r="K68" s="13">
        <v>46034.0</v>
      </c>
      <c r="L68" s="13"/>
      <c r="M68" s="12"/>
      <c r="N68" s="12" t="s">
        <v>125</v>
      </c>
      <c r="O68" s="12"/>
    </row>
    <row r="69" ht="15.75" customHeight="1">
      <c r="A69" s="9" t="s">
        <v>115</v>
      </c>
      <c r="B69" s="9" t="s">
        <v>327</v>
      </c>
      <c r="C69" s="9" t="s">
        <v>328</v>
      </c>
      <c r="D69" s="9" t="s">
        <v>329</v>
      </c>
      <c r="E69" s="9" t="s">
        <v>59</v>
      </c>
      <c r="F69" s="9" t="s">
        <v>24</v>
      </c>
      <c r="G69" s="9" t="s">
        <v>330</v>
      </c>
      <c r="H69" s="9" t="s">
        <v>331</v>
      </c>
      <c r="I69" s="9" t="s">
        <v>55</v>
      </c>
      <c r="J69" s="9" t="s">
        <v>48</v>
      </c>
      <c r="K69" s="10">
        <v>46026.0</v>
      </c>
      <c r="L69" s="10"/>
      <c r="M69" s="9"/>
      <c r="N69" s="9" t="s">
        <v>125</v>
      </c>
      <c r="O69" s="9"/>
    </row>
    <row r="70" ht="15.75" customHeight="1">
      <c r="A70" s="12" t="s">
        <v>30</v>
      </c>
      <c r="B70" s="12" t="s">
        <v>332</v>
      </c>
      <c r="C70" s="12" t="s">
        <v>333</v>
      </c>
      <c r="D70" s="12" t="s">
        <v>334</v>
      </c>
      <c r="E70" s="12" t="s">
        <v>23</v>
      </c>
      <c r="F70" s="12" t="s">
        <v>24</v>
      </c>
      <c r="G70" s="12" t="s">
        <v>335</v>
      </c>
      <c r="H70" s="12" t="s">
        <v>336</v>
      </c>
      <c r="I70" s="12" t="s">
        <v>55</v>
      </c>
      <c r="J70" s="12" t="s">
        <v>48</v>
      </c>
      <c r="K70" s="13">
        <v>46041.0</v>
      </c>
      <c r="L70" s="13"/>
      <c r="M70" s="12"/>
      <c r="N70" s="12" t="s">
        <v>125</v>
      </c>
      <c r="O70" s="12"/>
    </row>
    <row r="71" ht="15.75" customHeight="1">
      <c r="A71" s="9" t="s">
        <v>62</v>
      </c>
      <c r="B71" s="9" t="s">
        <v>337</v>
      </c>
      <c r="C71" s="9" t="s">
        <v>338</v>
      </c>
      <c r="D71" s="9" t="s">
        <v>339</v>
      </c>
      <c r="E71" s="9" t="s">
        <v>34</v>
      </c>
      <c r="F71" s="9" t="s">
        <v>24</v>
      </c>
      <c r="G71" s="9" t="s">
        <v>340</v>
      </c>
      <c r="H71" s="9" t="s">
        <v>341</v>
      </c>
      <c r="I71" s="9" t="s">
        <v>55</v>
      </c>
      <c r="J71" s="9" t="s">
        <v>28</v>
      </c>
      <c r="K71" s="10">
        <v>46034.0</v>
      </c>
      <c r="L71" s="10"/>
      <c r="M71" s="9"/>
      <c r="N71" s="9" t="s">
        <v>125</v>
      </c>
      <c r="O71" s="9"/>
    </row>
    <row r="72" ht="15.75" customHeight="1">
      <c r="A72" s="12" t="s">
        <v>62</v>
      </c>
      <c r="B72" s="12" t="s">
        <v>342</v>
      </c>
      <c r="C72" s="12" t="s">
        <v>343</v>
      </c>
      <c r="D72" s="12" t="s">
        <v>245</v>
      </c>
      <c r="E72" s="12" t="s">
        <v>97</v>
      </c>
      <c r="F72" s="12" t="s">
        <v>45</v>
      </c>
      <c r="G72" s="12" t="s">
        <v>344</v>
      </c>
      <c r="H72" s="12" t="s">
        <v>247</v>
      </c>
      <c r="I72" s="12" t="s">
        <v>55</v>
      </c>
      <c r="J72" s="12" t="s">
        <v>48</v>
      </c>
      <c r="K72" s="13">
        <v>46067.0</v>
      </c>
      <c r="L72" s="13"/>
      <c r="M72" s="12"/>
      <c r="N72" s="12"/>
      <c r="O72" s="12"/>
    </row>
    <row r="73" ht="15.75" customHeight="1">
      <c r="A73" s="9" t="s">
        <v>40</v>
      </c>
      <c r="B73" s="9" t="s">
        <v>345</v>
      </c>
      <c r="C73" s="9" t="s">
        <v>227</v>
      </c>
      <c r="D73" s="9" t="s">
        <v>346</v>
      </c>
      <c r="E73" s="9" t="s">
        <v>118</v>
      </c>
      <c r="F73" s="9" t="s">
        <v>45</v>
      </c>
      <c r="G73" s="9" t="s">
        <v>347</v>
      </c>
      <c r="H73" s="9" t="s">
        <v>348</v>
      </c>
      <c r="I73" s="9" t="s">
        <v>38</v>
      </c>
      <c r="J73" s="9" t="s">
        <v>48</v>
      </c>
      <c r="K73" s="10">
        <v>46021.0</v>
      </c>
      <c r="L73" s="10"/>
      <c r="M73" s="9"/>
      <c r="N73" s="9" t="s">
        <v>125</v>
      </c>
      <c r="O73" s="9"/>
    </row>
    <row r="74" ht="15.75" customHeight="1">
      <c r="A74" s="12" t="s">
        <v>115</v>
      </c>
      <c r="B74" s="12" t="s">
        <v>349</v>
      </c>
      <c r="C74" s="12" t="s">
        <v>57</v>
      </c>
      <c r="D74" s="12" t="s">
        <v>350</v>
      </c>
      <c r="E74" s="12" t="s">
        <v>71</v>
      </c>
      <c r="F74" s="12" t="s">
        <v>35</v>
      </c>
      <c r="G74" s="12" t="s">
        <v>351</v>
      </c>
      <c r="H74" s="12" t="s">
        <v>352</v>
      </c>
      <c r="I74" s="12" t="s">
        <v>27</v>
      </c>
      <c r="J74" s="12" t="s">
        <v>39</v>
      </c>
      <c r="K74" s="13">
        <v>46027.0</v>
      </c>
      <c r="L74" s="13">
        <v>46030.0</v>
      </c>
      <c r="M74" s="12">
        <v>3.0</v>
      </c>
      <c r="N74" s="12"/>
      <c r="O74" s="12"/>
    </row>
    <row r="75" ht="15.75" customHeight="1">
      <c r="A75" s="9" t="s">
        <v>62</v>
      </c>
      <c r="B75" s="9" t="s">
        <v>353</v>
      </c>
      <c r="C75" s="9" t="s">
        <v>354</v>
      </c>
      <c r="D75" s="9" t="s">
        <v>281</v>
      </c>
      <c r="E75" s="9" t="s">
        <v>52</v>
      </c>
      <c r="F75" s="9" t="s">
        <v>24</v>
      </c>
      <c r="G75" s="9" t="s">
        <v>355</v>
      </c>
      <c r="H75" s="9" t="s">
        <v>283</v>
      </c>
      <c r="I75" s="9" t="s">
        <v>38</v>
      </c>
      <c r="J75" s="9" t="s">
        <v>39</v>
      </c>
      <c r="K75" s="10">
        <v>46073.0</v>
      </c>
      <c r="L75" s="10">
        <v>46075.0</v>
      </c>
      <c r="M75" s="9">
        <v>2.0</v>
      </c>
      <c r="N75" s="9"/>
      <c r="O75" s="9"/>
    </row>
    <row r="76" ht="15.75" customHeight="1">
      <c r="A76" s="12" t="s">
        <v>62</v>
      </c>
      <c r="B76" s="12" t="s">
        <v>356</v>
      </c>
      <c r="C76" s="12" t="s">
        <v>132</v>
      </c>
      <c r="D76" s="12" t="s">
        <v>357</v>
      </c>
      <c r="E76" s="12" t="s">
        <v>52</v>
      </c>
      <c r="F76" s="12" t="s">
        <v>35</v>
      </c>
      <c r="G76" s="12" t="s">
        <v>358</v>
      </c>
      <c r="H76" s="12" t="s">
        <v>359</v>
      </c>
      <c r="I76" s="12" t="s">
        <v>27</v>
      </c>
      <c r="J76" s="12" t="s">
        <v>48</v>
      </c>
      <c r="K76" s="13">
        <v>46046.0</v>
      </c>
      <c r="L76" s="13"/>
      <c r="M76" s="12"/>
      <c r="N76" s="12" t="s">
        <v>125</v>
      </c>
      <c r="O76" s="12"/>
    </row>
    <row r="77" ht="15.75" customHeight="1">
      <c r="A77" s="9" t="s">
        <v>19</v>
      </c>
      <c r="B77" s="9" t="s">
        <v>360</v>
      </c>
      <c r="C77" s="9" t="s">
        <v>318</v>
      </c>
      <c r="D77" s="9" t="s">
        <v>219</v>
      </c>
      <c r="E77" s="9" t="s">
        <v>118</v>
      </c>
      <c r="F77" s="9" t="s">
        <v>35</v>
      </c>
      <c r="G77" s="9" t="s">
        <v>361</v>
      </c>
      <c r="H77" s="9" t="s">
        <v>221</v>
      </c>
      <c r="I77" s="9" t="s">
        <v>55</v>
      </c>
      <c r="J77" s="9" t="s">
        <v>28</v>
      </c>
      <c r="K77" s="10">
        <v>46031.0</v>
      </c>
      <c r="L77" s="10"/>
      <c r="M77" s="9"/>
      <c r="N77" s="9" t="s">
        <v>125</v>
      </c>
      <c r="O77" s="9"/>
    </row>
    <row r="78" ht="15.75" customHeight="1">
      <c r="A78" s="12" t="s">
        <v>19</v>
      </c>
      <c r="B78" s="12" t="s">
        <v>362</v>
      </c>
      <c r="C78" s="12" t="s">
        <v>363</v>
      </c>
      <c r="D78" s="12" t="s">
        <v>80</v>
      </c>
      <c r="E78" s="12" t="s">
        <v>59</v>
      </c>
      <c r="F78" s="12" t="s">
        <v>45</v>
      </c>
      <c r="G78" s="12" t="s">
        <v>364</v>
      </c>
      <c r="H78" s="12" t="s">
        <v>83</v>
      </c>
      <c r="I78" s="12" t="s">
        <v>27</v>
      </c>
      <c r="J78" s="12" t="s">
        <v>48</v>
      </c>
      <c r="K78" s="13">
        <v>46061.0</v>
      </c>
      <c r="L78" s="13"/>
      <c r="M78" s="12"/>
      <c r="N78" s="12" t="s">
        <v>29</v>
      </c>
      <c r="O78" s="12"/>
    </row>
    <row r="79" ht="15.75" customHeight="1">
      <c r="A79" s="9" t="s">
        <v>40</v>
      </c>
      <c r="B79" s="9" t="s">
        <v>365</v>
      </c>
      <c r="C79" s="9" t="s">
        <v>79</v>
      </c>
      <c r="D79" s="9" t="s">
        <v>58</v>
      </c>
      <c r="E79" s="9" t="s">
        <v>71</v>
      </c>
      <c r="F79" s="9" t="s">
        <v>35</v>
      </c>
      <c r="G79" s="9" t="s">
        <v>366</v>
      </c>
      <c r="H79" s="9" t="s">
        <v>61</v>
      </c>
      <c r="I79" s="9" t="s">
        <v>27</v>
      </c>
      <c r="J79" s="9" t="s">
        <v>48</v>
      </c>
      <c r="K79" s="10">
        <v>46078.0</v>
      </c>
      <c r="L79" s="10"/>
      <c r="M79" s="9"/>
      <c r="N79" s="9"/>
      <c r="O79" s="9"/>
    </row>
    <row r="80" ht="15.75" customHeight="1">
      <c r="A80" s="12" t="s">
        <v>19</v>
      </c>
      <c r="B80" s="12" t="s">
        <v>367</v>
      </c>
      <c r="C80" s="12" t="s">
        <v>368</v>
      </c>
      <c r="D80" s="12" t="s">
        <v>369</v>
      </c>
      <c r="E80" s="12" t="s">
        <v>186</v>
      </c>
      <c r="F80" s="12" t="s">
        <v>45</v>
      </c>
      <c r="G80" s="12" t="s">
        <v>370</v>
      </c>
      <c r="H80" s="12" t="s">
        <v>371</v>
      </c>
      <c r="I80" s="12" t="s">
        <v>27</v>
      </c>
      <c r="J80" s="12" t="s">
        <v>28</v>
      </c>
      <c r="K80" s="13">
        <v>46075.0</v>
      </c>
      <c r="L80" s="13"/>
      <c r="M80" s="12"/>
      <c r="N80" s="12"/>
      <c r="O80" s="12"/>
    </row>
    <row r="81" ht="15.75" customHeight="1">
      <c r="A81" s="9" t="s">
        <v>40</v>
      </c>
      <c r="B81" s="9" t="s">
        <v>372</v>
      </c>
      <c r="C81" s="9" t="s">
        <v>178</v>
      </c>
      <c r="D81" s="9" t="s">
        <v>264</v>
      </c>
      <c r="E81" s="9" t="s">
        <v>44</v>
      </c>
      <c r="F81" s="9" t="s">
        <v>24</v>
      </c>
      <c r="G81" s="9" t="s">
        <v>373</v>
      </c>
      <c r="H81" s="9" t="s">
        <v>266</v>
      </c>
      <c r="I81" s="9" t="s">
        <v>27</v>
      </c>
      <c r="J81" s="9" t="s">
        <v>48</v>
      </c>
      <c r="K81" s="10">
        <v>46049.0</v>
      </c>
      <c r="L81" s="10"/>
      <c r="M81" s="9"/>
      <c r="N81" s="9" t="s">
        <v>125</v>
      </c>
      <c r="O81" s="9"/>
    </row>
    <row r="82" ht="15.75" customHeight="1">
      <c r="A82" s="12" t="s">
        <v>19</v>
      </c>
      <c r="B82" s="12" t="s">
        <v>374</v>
      </c>
      <c r="C82" s="12" t="s">
        <v>79</v>
      </c>
      <c r="D82" s="12" t="s">
        <v>350</v>
      </c>
      <c r="E82" s="12" t="s">
        <v>71</v>
      </c>
      <c r="F82" s="12" t="s">
        <v>45</v>
      </c>
      <c r="G82" s="12" t="s">
        <v>375</v>
      </c>
      <c r="H82" s="12" t="s">
        <v>352</v>
      </c>
      <c r="I82" s="12" t="s">
        <v>27</v>
      </c>
      <c r="J82" s="12" t="s">
        <v>39</v>
      </c>
      <c r="K82" s="13">
        <v>46049.0</v>
      </c>
      <c r="L82" s="13">
        <v>46054.0</v>
      </c>
      <c r="M82" s="12">
        <v>5.0</v>
      </c>
      <c r="N82" s="12"/>
      <c r="O82" s="12"/>
    </row>
    <row r="83" ht="15.75" customHeight="1">
      <c r="A83" s="9" t="s">
        <v>30</v>
      </c>
      <c r="B83" s="9" t="s">
        <v>376</v>
      </c>
      <c r="C83" s="9" t="s">
        <v>121</v>
      </c>
      <c r="D83" s="9" t="s">
        <v>377</v>
      </c>
      <c r="E83" s="9" t="s">
        <v>44</v>
      </c>
      <c r="F83" s="9" t="s">
        <v>24</v>
      </c>
      <c r="G83" s="9" t="s">
        <v>378</v>
      </c>
      <c r="H83" s="9" t="s">
        <v>379</v>
      </c>
      <c r="I83" s="9" t="s">
        <v>27</v>
      </c>
      <c r="J83" s="9" t="s">
        <v>48</v>
      </c>
      <c r="K83" s="10">
        <v>46078.0</v>
      </c>
      <c r="L83" s="10"/>
      <c r="M83" s="9"/>
      <c r="N83" s="9"/>
      <c r="O83" s="9"/>
    </row>
    <row r="84" ht="15.75" customHeight="1">
      <c r="A84" s="12" t="s">
        <v>40</v>
      </c>
      <c r="B84" s="12" t="s">
        <v>380</v>
      </c>
      <c r="C84" s="12" t="s">
        <v>381</v>
      </c>
      <c r="D84" s="12" t="s">
        <v>382</v>
      </c>
      <c r="E84" s="12" t="s">
        <v>34</v>
      </c>
      <c r="F84" s="12" t="s">
        <v>24</v>
      </c>
      <c r="G84" s="12" t="s">
        <v>383</v>
      </c>
      <c r="H84" s="12" t="s">
        <v>384</v>
      </c>
      <c r="I84" s="12" t="s">
        <v>55</v>
      </c>
      <c r="J84" s="12" t="s">
        <v>48</v>
      </c>
      <c r="K84" s="13">
        <v>46061.0</v>
      </c>
      <c r="L84" s="13"/>
      <c r="M84" s="12"/>
      <c r="N84" s="12" t="s">
        <v>29</v>
      </c>
      <c r="O84" s="12"/>
    </row>
    <row r="85" ht="15.75" customHeight="1">
      <c r="A85" s="9" t="s">
        <v>40</v>
      </c>
      <c r="B85" s="9" t="s">
        <v>385</v>
      </c>
      <c r="C85" s="9" t="s">
        <v>386</v>
      </c>
      <c r="D85" s="9" t="s">
        <v>387</v>
      </c>
      <c r="E85" s="9" t="s">
        <v>59</v>
      </c>
      <c r="F85" s="9" t="s">
        <v>24</v>
      </c>
      <c r="G85" s="9" t="s">
        <v>388</v>
      </c>
      <c r="H85" s="9" t="s">
        <v>389</v>
      </c>
      <c r="I85" s="9" t="s">
        <v>27</v>
      </c>
      <c r="J85" s="9" t="s">
        <v>48</v>
      </c>
      <c r="K85" s="10">
        <v>46024.0</v>
      </c>
      <c r="L85" s="10"/>
      <c r="M85" s="9"/>
      <c r="N85" s="9" t="s">
        <v>125</v>
      </c>
      <c r="O85" s="9"/>
    </row>
    <row r="86" ht="15.75" customHeight="1">
      <c r="A86" s="12" t="s">
        <v>115</v>
      </c>
      <c r="B86" s="12" t="s">
        <v>390</v>
      </c>
      <c r="C86" s="12" t="s">
        <v>160</v>
      </c>
      <c r="D86" s="12" t="s">
        <v>391</v>
      </c>
      <c r="E86" s="12" t="s">
        <v>59</v>
      </c>
      <c r="F86" s="12" t="s">
        <v>24</v>
      </c>
      <c r="G86" s="12" t="s">
        <v>392</v>
      </c>
      <c r="H86" s="12" t="s">
        <v>393</v>
      </c>
      <c r="I86" s="12" t="s">
        <v>27</v>
      </c>
      <c r="J86" s="12" t="s">
        <v>28</v>
      </c>
      <c r="K86" s="13">
        <v>46052.0</v>
      </c>
      <c r="L86" s="13"/>
      <c r="M86" s="12"/>
      <c r="N86" s="12" t="s">
        <v>29</v>
      </c>
      <c r="O86" s="12"/>
    </row>
    <row r="87" ht="15.75" customHeight="1">
      <c r="A87" s="9" t="s">
        <v>115</v>
      </c>
      <c r="B87" s="9" t="s">
        <v>394</v>
      </c>
      <c r="C87" s="9" t="s">
        <v>117</v>
      </c>
      <c r="D87" s="9" t="s">
        <v>395</v>
      </c>
      <c r="E87" s="9" t="s">
        <v>118</v>
      </c>
      <c r="F87" s="9" t="s">
        <v>24</v>
      </c>
      <c r="G87" s="9" t="s">
        <v>396</v>
      </c>
      <c r="H87" s="9" t="s">
        <v>397</v>
      </c>
      <c r="I87" s="9" t="s">
        <v>55</v>
      </c>
      <c r="J87" s="9" t="s">
        <v>48</v>
      </c>
      <c r="K87" s="10">
        <v>46059.0</v>
      </c>
      <c r="L87" s="10"/>
      <c r="M87" s="9"/>
      <c r="N87" s="9" t="s">
        <v>29</v>
      </c>
      <c r="O87" s="9"/>
    </row>
    <row r="88" ht="15.75" customHeight="1">
      <c r="A88" s="12" t="s">
        <v>40</v>
      </c>
      <c r="B88" s="12" t="s">
        <v>398</v>
      </c>
      <c r="C88" s="12" t="s">
        <v>399</v>
      </c>
      <c r="D88" s="12" t="s">
        <v>400</v>
      </c>
      <c r="E88" s="12" t="s">
        <v>81</v>
      </c>
      <c r="F88" s="12" t="s">
        <v>45</v>
      </c>
      <c r="G88" s="12" t="s">
        <v>401</v>
      </c>
      <c r="H88" s="12" t="s">
        <v>402</v>
      </c>
      <c r="I88" s="12" t="s">
        <v>55</v>
      </c>
      <c r="J88" s="12" t="s">
        <v>28</v>
      </c>
      <c r="K88" s="13">
        <v>46034.0</v>
      </c>
      <c r="L88" s="13"/>
      <c r="M88" s="12"/>
      <c r="N88" s="12" t="s">
        <v>125</v>
      </c>
      <c r="O88" s="12"/>
    </row>
    <row r="89" ht="15.75" customHeight="1">
      <c r="A89" s="9" t="s">
        <v>40</v>
      </c>
      <c r="B89" s="9" t="s">
        <v>403</v>
      </c>
      <c r="C89" s="9" t="s">
        <v>251</v>
      </c>
      <c r="D89" s="9" t="s">
        <v>404</v>
      </c>
      <c r="E89" s="9" t="s">
        <v>34</v>
      </c>
      <c r="F89" s="9" t="s">
        <v>35</v>
      </c>
      <c r="G89" s="9" t="s">
        <v>405</v>
      </c>
      <c r="H89" s="9" t="s">
        <v>406</v>
      </c>
      <c r="I89" s="9" t="s">
        <v>55</v>
      </c>
      <c r="J89" s="9" t="s">
        <v>39</v>
      </c>
      <c r="K89" s="10">
        <v>46055.0</v>
      </c>
      <c r="L89" s="10">
        <v>46059.0</v>
      </c>
      <c r="M89" s="9">
        <v>4.0</v>
      </c>
      <c r="N89" s="9"/>
      <c r="O89" s="9"/>
    </row>
    <row r="90" ht="15.75" customHeight="1">
      <c r="A90" s="12" t="s">
        <v>30</v>
      </c>
      <c r="B90" s="12" t="s">
        <v>407</v>
      </c>
      <c r="C90" s="12" t="s">
        <v>57</v>
      </c>
      <c r="D90" s="12" t="s">
        <v>86</v>
      </c>
      <c r="E90" s="12" t="s">
        <v>186</v>
      </c>
      <c r="F90" s="12" t="s">
        <v>45</v>
      </c>
      <c r="G90" s="12" t="s">
        <v>408</v>
      </c>
      <c r="H90" s="12" t="s">
        <v>88</v>
      </c>
      <c r="I90" s="12" t="s">
        <v>38</v>
      </c>
      <c r="J90" s="12" t="s">
        <v>39</v>
      </c>
      <c r="K90" s="13">
        <v>46046.0</v>
      </c>
      <c r="L90" s="13">
        <v>46055.0</v>
      </c>
      <c r="M90" s="12">
        <v>9.0</v>
      </c>
      <c r="N90" s="12"/>
      <c r="O90" s="12"/>
    </row>
    <row r="91" ht="15.75" customHeight="1">
      <c r="A91" s="9" t="s">
        <v>62</v>
      </c>
      <c r="B91" s="9" t="s">
        <v>409</v>
      </c>
      <c r="C91" s="9" t="s">
        <v>410</v>
      </c>
      <c r="D91" s="9" t="s">
        <v>33</v>
      </c>
      <c r="E91" s="9" t="s">
        <v>118</v>
      </c>
      <c r="F91" s="9" t="s">
        <v>35</v>
      </c>
      <c r="G91" s="9" t="s">
        <v>411</v>
      </c>
      <c r="H91" s="9" t="s">
        <v>37</v>
      </c>
      <c r="I91" s="9" t="s">
        <v>38</v>
      </c>
      <c r="J91" s="9" t="s">
        <v>39</v>
      </c>
      <c r="K91" s="10">
        <v>46035.0</v>
      </c>
      <c r="L91" s="10">
        <v>46043.0</v>
      </c>
      <c r="M91" s="9">
        <v>8.0</v>
      </c>
      <c r="N91" s="9"/>
      <c r="O91" s="9"/>
    </row>
    <row r="92" ht="15.75" customHeight="1">
      <c r="A92" s="12" t="s">
        <v>115</v>
      </c>
      <c r="B92" s="12" t="s">
        <v>412</v>
      </c>
      <c r="C92" s="12" t="s">
        <v>244</v>
      </c>
      <c r="D92" s="12" t="s">
        <v>382</v>
      </c>
      <c r="E92" s="12" t="s">
        <v>52</v>
      </c>
      <c r="F92" s="12" t="s">
        <v>24</v>
      </c>
      <c r="G92" s="12" t="s">
        <v>413</v>
      </c>
      <c r="H92" s="12" t="s">
        <v>384</v>
      </c>
      <c r="I92" s="12" t="s">
        <v>38</v>
      </c>
      <c r="J92" s="12" t="s">
        <v>28</v>
      </c>
      <c r="K92" s="13">
        <v>46075.0</v>
      </c>
      <c r="L92" s="13"/>
      <c r="M92" s="12"/>
      <c r="N92" s="12"/>
      <c r="O92" s="12"/>
    </row>
    <row r="93" ht="15.75" customHeight="1">
      <c r="A93" s="9" t="s">
        <v>115</v>
      </c>
      <c r="B93" s="9" t="s">
        <v>414</v>
      </c>
      <c r="C93" s="9" t="s">
        <v>244</v>
      </c>
      <c r="D93" s="9" t="s">
        <v>219</v>
      </c>
      <c r="E93" s="9" t="s">
        <v>71</v>
      </c>
      <c r="F93" s="9" t="s">
        <v>35</v>
      </c>
      <c r="G93" s="9" t="s">
        <v>415</v>
      </c>
      <c r="H93" s="9" t="s">
        <v>221</v>
      </c>
      <c r="I93" s="9" t="s">
        <v>38</v>
      </c>
      <c r="J93" s="9" t="s">
        <v>48</v>
      </c>
      <c r="K93" s="10">
        <v>46068.0</v>
      </c>
      <c r="L93" s="10"/>
      <c r="M93" s="9"/>
      <c r="N93" s="9"/>
      <c r="O93" s="9"/>
    </row>
    <row r="94" ht="15.75" customHeight="1">
      <c r="A94" s="12" t="s">
        <v>40</v>
      </c>
      <c r="B94" s="12" t="s">
        <v>416</v>
      </c>
      <c r="C94" s="12" t="s">
        <v>417</v>
      </c>
      <c r="D94" s="12" t="s">
        <v>369</v>
      </c>
      <c r="E94" s="12" t="s">
        <v>97</v>
      </c>
      <c r="F94" s="12" t="s">
        <v>35</v>
      </c>
      <c r="G94" s="12" t="s">
        <v>418</v>
      </c>
      <c r="H94" s="12" t="s">
        <v>371</v>
      </c>
      <c r="I94" s="12" t="s">
        <v>27</v>
      </c>
      <c r="J94" s="12" t="s">
        <v>28</v>
      </c>
      <c r="K94" s="13">
        <v>46061.0</v>
      </c>
      <c r="L94" s="13"/>
      <c r="M94" s="12"/>
      <c r="N94" s="12" t="s">
        <v>29</v>
      </c>
      <c r="O94" s="12"/>
    </row>
    <row r="95" ht="15.75" customHeight="1">
      <c r="A95" s="9" t="s">
        <v>19</v>
      </c>
      <c r="B95" s="9" t="s">
        <v>419</v>
      </c>
      <c r="C95" s="9" t="s">
        <v>90</v>
      </c>
      <c r="D95" s="9" t="s">
        <v>420</v>
      </c>
      <c r="E95" s="9" t="s">
        <v>97</v>
      </c>
      <c r="F95" s="9" t="s">
        <v>45</v>
      </c>
      <c r="G95" s="9" t="s">
        <v>421</v>
      </c>
      <c r="H95" s="9" t="s">
        <v>422</v>
      </c>
      <c r="I95" s="9" t="s">
        <v>38</v>
      </c>
      <c r="J95" s="9" t="s">
        <v>28</v>
      </c>
      <c r="K95" s="10">
        <v>46022.0</v>
      </c>
      <c r="L95" s="10"/>
      <c r="M95" s="9"/>
      <c r="N95" s="9" t="s">
        <v>125</v>
      </c>
      <c r="O95" s="9"/>
    </row>
    <row r="96" ht="15.75" customHeight="1">
      <c r="A96" s="12" t="s">
        <v>115</v>
      </c>
      <c r="B96" s="12" t="s">
        <v>423</v>
      </c>
      <c r="C96" s="12" t="s">
        <v>42</v>
      </c>
      <c r="D96" s="12" t="s">
        <v>424</v>
      </c>
      <c r="E96" s="12" t="s">
        <v>59</v>
      </c>
      <c r="F96" s="12" t="s">
        <v>24</v>
      </c>
      <c r="G96" s="12" t="s">
        <v>425</v>
      </c>
      <c r="H96" s="12" t="s">
        <v>426</v>
      </c>
      <c r="I96" s="12" t="s">
        <v>38</v>
      </c>
      <c r="J96" s="12" t="s">
        <v>48</v>
      </c>
      <c r="K96" s="13">
        <v>46039.0</v>
      </c>
      <c r="L96" s="13"/>
      <c r="M96" s="12"/>
      <c r="N96" s="12" t="s">
        <v>125</v>
      </c>
      <c r="O96" s="12"/>
    </row>
    <row r="97" ht="15.75" customHeight="1">
      <c r="A97" s="9" t="s">
        <v>62</v>
      </c>
      <c r="B97" s="9" t="s">
        <v>427</v>
      </c>
      <c r="C97" s="9" t="s">
        <v>42</v>
      </c>
      <c r="D97" s="9" t="s">
        <v>428</v>
      </c>
      <c r="E97" s="9" t="s">
        <v>44</v>
      </c>
      <c r="F97" s="9" t="s">
        <v>45</v>
      </c>
      <c r="G97" s="9" t="s">
        <v>429</v>
      </c>
      <c r="H97" s="9" t="s">
        <v>430</v>
      </c>
      <c r="I97" s="9" t="s">
        <v>55</v>
      </c>
      <c r="J97" s="9" t="s">
        <v>39</v>
      </c>
      <c r="K97" s="10">
        <v>46050.0</v>
      </c>
      <c r="L97" s="10">
        <v>46055.0</v>
      </c>
      <c r="M97" s="9">
        <v>5.0</v>
      </c>
      <c r="N97" s="9"/>
      <c r="O97" s="9"/>
    </row>
    <row r="98" ht="15.75" customHeight="1">
      <c r="A98" s="12" t="s">
        <v>30</v>
      </c>
      <c r="B98" s="12" t="s">
        <v>431</v>
      </c>
      <c r="C98" s="12" t="s">
        <v>50</v>
      </c>
      <c r="D98" s="12" t="s">
        <v>329</v>
      </c>
      <c r="E98" s="12" t="s">
        <v>97</v>
      </c>
      <c r="F98" s="12" t="s">
        <v>24</v>
      </c>
      <c r="G98" s="12" t="s">
        <v>432</v>
      </c>
      <c r="H98" s="12" t="s">
        <v>331</v>
      </c>
      <c r="I98" s="12" t="s">
        <v>55</v>
      </c>
      <c r="J98" s="12" t="s">
        <v>39</v>
      </c>
      <c r="K98" s="13">
        <v>46031.0</v>
      </c>
      <c r="L98" s="13">
        <v>46037.0</v>
      </c>
      <c r="M98" s="12">
        <v>6.0</v>
      </c>
      <c r="N98" s="12"/>
      <c r="O98" s="12"/>
    </row>
    <row r="99" ht="15.75" customHeight="1">
      <c r="A99" s="9" t="s">
        <v>19</v>
      </c>
      <c r="B99" s="9" t="s">
        <v>433</v>
      </c>
      <c r="C99" s="9" t="s">
        <v>178</v>
      </c>
      <c r="D99" s="9" t="s">
        <v>147</v>
      </c>
      <c r="E99" s="9" t="s">
        <v>186</v>
      </c>
      <c r="F99" s="9" t="s">
        <v>35</v>
      </c>
      <c r="G99" s="9" t="s">
        <v>434</v>
      </c>
      <c r="H99" s="9" t="s">
        <v>149</v>
      </c>
      <c r="I99" s="9" t="s">
        <v>27</v>
      </c>
      <c r="J99" s="9" t="s">
        <v>28</v>
      </c>
      <c r="K99" s="10">
        <v>46026.0</v>
      </c>
      <c r="L99" s="10"/>
      <c r="M99" s="9"/>
      <c r="N99" s="9" t="s">
        <v>125</v>
      </c>
      <c r="O99" s="9"/>
    </row>
    <row r="100" ht="15.75" customHeight="1">
      <c r="A100" s="12" t="s">
        <v>40</v>
      </c>
      <c r="B100" s="12" t="s">
        <v>435</v>
      </c>
      <c r="C100" s="12" t="s">
        <v>42</v>
      </c>
      <c r="D100" s="12" t="s">
        <v>377</v>
      </c>
      <c r="E100" s="12" t="s">
        <v>97</v>
      </c>
      <c r="F100" s="12" t="s">
        <v>45</v>
      </c>
      <c r="G100" s="12" t="s">
        <v>436</v>
      </c>
      <c r="H100" s="12" t="s">
        <v>379</v>
      </c>
      <c r="I100" s="12" t="s">
        <v>27</v>
      </c>
      <c r="J100" s="12" t="s">
        <v>39</v>
      </c>
      <c r="K100" s="13">
        <v>46075.0</v>
      </c>
      <c r="L100" s="13">
        <v>46084.0</v>
      </c>
      <c r="M100" s="12">
        <v>9.0</v>
      </c>
      <c r="N100" s="12"/>
      <c r="O100" s="12"/>
    </row>
    <row r="101" ht="15.75" customHeight="1">
      <c r="A101" s="9" t="s">
        <v>62</v>
      </c>
      <c r="B101" s="9" t="s">
        <v>437</v>
      </c>
      <c r="C101" s="9" t="s">
        <v>410</v>
      </c>
      <c r="D101" s="9" t="s">
        <v>438</v>
      </c>
      <c r="E101" s="9" t="s">
        <v>186</v>
      </c>
      <c r="F101" s="9" t="s">
        <v>24</v>
      </c>
      <c r="G101" s="9" t="s">
        <v>439</v>
      </c>
      <c r="H101" s="9" t="s">
        <v>440</v>
      </c>
      <c r="I101" s="9" t="s">
        <v>27</v>
      </c>
      <c r="J101" s="9" t="s">
        <v>39</v>
      </c>
      <c r="K101" s="10">
        <v>46029.0</v>
      </c>
      <c r="L101" s="10">
        <v>46033.0</v>
      </c>
      <c r="M101" s="9">
        <v>4.0</v>
      </c>
      <c r="N101" s="9"/>
      <c r="O101" s="9"/>
    </row>
    <row r="102" ht="15.75" customHeight="1">
      <c r="A102" s="12" t="s">
        <v>115</v>
      </c>
      <c r="B102" s="12" t="s">
        <v>441</v>
      </c>
      <c r="C102" s="12" t="s">
        <v>21</v>
      </c>
      <c r="D102" s="12" t="s">
        <v>166</v>
      </c>
      <c r="E102" s="12" t="s">
        <v>23</v>
      </c>
      <c r="F102" s="12" t="s">
        <v>45</v>
      </c>
      <c r="G102" s="12" t="s">
        <v>442</v>
      </c>
      <c r="H102" s="12" t="s">
        <v>168</v>
      </c>
      <c r="I102" s="12" t="s">
        <v>55</v>
      </c>
      <c r="J102" s="12" t="s">
        <v>28</v>
      </c>
      <c r="K102" s="13">
        <v>46066.0</v>
      </c>
      <c r="L102" s="13"/>
      <c r="M102" s="12"/>
      <c r="N102" s="12"/>
      <c r="O102" s="12"/>
    </row>
    <row r="103" ht="15.75" customHeight="1">
      <c r="A103" s="9" t="s">
        <v>40</v>
      </c>
      <c r="B103" s="9" t="s">
        <v>443</v>
      </c>
      <c r="C103" s="9" t="s">
        <v>399</v>
      </c>
      <c r="D103" s="9" t="s">
        <v>444</v>
      </c>
      <c r="E103" s="9" t="s">
        <v>81</v>
      </c>
      <c r="F103" s="9" t="s">
        <v>45</v>
      </c>
      <c r="G103" s="9" t="s">
        <v>445</v>
      </c>
      <c r="H103" s="9" t="s">
        <v>446</v>
      </c>
      <c r="I103" s="9" t="s">
        <v>27</v>
      </c>
      <c r="J103" s="9" t="s">
        <v>48</v>
      </c>
      <c r="K103" s="10">
        <v>46067.0</v>
      </c>
      <c r="L103" s="10"/>
      <c r="M103" s="9"/>
      <c r="N103" s="9"/>
      <c r="O103" s="9"/>
    </row>
    <row r="104" ht="15.75" customHeight="1">
      <c r="A104" s="12" t="s">
        <v>115</v>
      </c>
      <c r="B104" s="12" t="s">
        <v>447</v>
      </c>
      <c r="C104" s="12" t="s">
        <v>121</v>
      </c>
      <c r="D104" s="12" t="s">
        <v>448</v>
      </c>
      <c r="E104" s="12" t="s">
        <v>97</v>
      </c>
      <c r="F104" s="12" t="s">
        <v>35</v>
      </c>
      <c r="G104" s="12" t="s">
        <v>449</v>
      </c>
      <c r="H104" s="12" t="s">
        <v>450</v>
      </c>
      <c r="I104" s="12" t="s">
        <v>38</v>
      </c>
      <c r="J104" s="12" t="s">
        <v>39</v>
      </c>
      <c r="K104" s="13">
        <v>46076.0</v>
      </c>
      <c r="L104" s="13">
        <v>46084.0</v>
      </c>
      <c r="M104" s="12">
        <v>8.0</v>
      </c>
      <c r="N104" s="12"/>
      <c r="O104" s="12"/>
    </row>
    <row r="105" ht="15.75" customHeight="1">
      <c r="A105" s="9" t="s">
        <v>62</v>
      </c>
      <c r="B105" s="9" t="s">
        <v>451</v>
      </c>
      <c r="C105" s="9" t="s">
        <v>318</v>
      </c>
      <c r="D105" s="9" t="s">
        <v>452</v>
      </c>
      <c r="E105" s="9" t="s">
        <v>97</v>
      </c>
      <c r="F105" s="9" t="s">
        <v>24</v>
      </c>
      <c r="G105" s="9" t="s">
        <v>453</v>
      </c>
      <c r="H105" s="9" t="s">
        <v>454</v>
      </c>
      <c r="I105" s="9" t="s">
        <v>55</v>
      </c>
      <c r="J105" s="9" t="s">
        <v>28</v>
      </c>
      <c r="K105" s="10">
        <v>46070.0</v>
      </c>
      <c r="L105" s="10"/>
      <c r="M105" s="9"/>
      <c r="N105" s="9"/>
      <c r="O105" s="9"/>
    </row>
    <row r="106" ht="15.75" customHeight="1">
      <c r="A106" s="12" t="s">
        <v>19</v>
      </c>
      <c r="B106" s="12" t="s">
        <v>455</v>
      </c>
      <c r="C106" s="12" t="s">
        <v>140</v>
      </c>
      <c r="D106" s="12" t="s">
        <v>339</v>
      </c>
      <c r="E106" s="12" t="s">
        <v>118</v>
      </c>
      <c r="F106" s="12" t="s">
        <v>45</v>
      </c>
      <c r="G106" s="12" t="s">
        <v>456</v>
      </c>
      <c r="H106" s="12" t="s">
        <v>341</v>
      </c>
      <c r="I106" s="12" t="s">
        <v>55</v>
      </c>
      <c r="J106" s="12" t="s">
        <v>28</v>
      </c>
      <c r="K106" s="13">
        <v>46038.0</v>
      </c>
      <c r="L106" s="13"/>
      <c r="M106" s="12"/>
      <c r="N106" s="12" t="s">
        <v>125</v>
      </c>
      <c r="O106" s="12"/>
    </row>
    <row r="107" ht="15.75" customHeight="1">
      <c r="A107" s="9" t="s">
        <v>115</v>
      </c>
      <c r="B107" s="9" t="s">
        <v>457</v>
      </c>
      <c r="C107" s="9" t="s">
        <v>458</v>
      </c>
      <c r="D107" s="9" t="s">
        <v>22</v>
      </c>
      <c r="E107" s="9" t="s">
        <v>97</v>
      </c>
      <c r="F107" s="9" t="s">
        <v>24</v>
      </c>
      <c r="G107" s="9" t="s">
        <v>459</v>
      </c>
      <c r="H107" s="9" t="s">
        <v>26</v>
      </c>
      <c r="I107" s="9" t="s">
        <v>55</v>
      </c>
      <c r="J107" s="9" t="s">
        <v>48</v>
      </c>
      <c r="K107" s="10">
        <v>46076.0</v>
      </c>
      <c r="L107" s="10"/>
      <c r="M107" s="9"/>
      <c r="N107" s="9"/>
      <c r="O107" s="9"/>
    </row>
    <row r="108" ht="15.75" customHeight="1">
      <c r="A108" s="12" t="s">
        <v>115</v>
      </c>
      <c r="B108" s="12" t="s">
        <v>460</v>
      </c>
      <c r="C108" s="12" t="s">
        <v>318</v>
      </c>
      <c r="D108" s="12" t="s">
        <v>461</v>
      </c>
      <c r="E108" s="12" t="s">
        <v>59</v>
      </c>
      <c r="F108" s="12" t="s">
        <v>24</v>
      </c>
      <c r="G108" s="12" t="s">
        <v>462</v>
      </c>
      <c r="H108" s="12" t="s">
        <v>463</v>
      </c>
      <c r="I108" s="12" t="s">
        <v>27</v>
      </c>
      <c r="J108" s="12" t="s">
        <v>48</v>
      </c>
      <c r="K108" s="13">
        <v>46049.0</v>
      </c>
      <c r="L108" s="13"/>
      <c r="M108" s="12"/>
      <c r="N108" s="12" t="s">
        <v>125</v>
      </c>
      <c r="O108" s="12"/>
    </row>
    <row r="109" ht="15.75" customHeight="1">
      <c r="A109" s="9" t="s">
        <v>19</v>
      </c>
      <c r="B109" s="9" t="s">
        <v>464</v>
      </c>
      <c r="C109" s="9" t="s">
        <v>69</v>
      </c>
      <c r="D109" s="9" t="s">
        <v>465</v>
      </c>
      <c r="E109" s="9" t="s">
        <v>34</v>
      </c>
      <c r="F109" s="9" t="s">
        <v>45</v>
      </c>
      <c r="G109" s="9" t="s">
        <v>466</v>
      </c>
      <c r="H109" s="9" t="s">
        <v>467</v>
      </c>
      <c r="I109" s="9" t="s">
        <v>27</v>
      </c>
      <c r="J109" s="9" t="s">
        <v>39</v>
      </c>
      <c r="K109" s="10">
        <v>46039.0</v>
      </c>
      <c r="L109" s="10">
        <v>46043.0</v>
      </c>
      <c r="M109" s="9">
        <v>4.0</v>
      </c>
      <c r="N109" s="9"/>
      <c r="O109" s="9"/>
    </row>
    <row r="110" ht="15.75" customHeight="1">
      <c r="A110" s="12" t="s">
        <v>62</v>
      </c>
      <c r="B110" s="12" t="s">
        <v>468</v>
      </c>
      <c r="C110" s="12" t="s">
        <v>127</v>
      </c>
      <c r="D110" s="12" t="s">
        <v>230</v>
      </c>
      <c r="E110" s="12" t="s">
        <v>118</v>
      </c>
      <c r="F110" s="12" t="s">
        <v>24</v>
      </c>
      <c r="G110" s="12" t="s">
        <v>469</v>
      </c>
      <c r="H110" s="12" t="s">
        <v>232</v>
      </c>
      <c r="I110" s="12" t="s">
        <v>55</v>
      </c>
      <c r="J110" s="12" t="s">
        <v>28</v>
      </c>
      <c r="K110" s="13">
        <v>46052.0</v>
      </c>
      <c r="L110" s="13"/>
      <c r="M110" s="12"/>
      <c r="N110" s="12" t="s">
        <v>29</v>
      </c>
      <c r="O110" s="12"/>
    </row>
    <row r="111" ht="15.75" customHeight="1">
      <c r="A111" s="9" t="s">
        <v>40</v>
      </c>
      <c r="B111" s="9" t="s">
        <v>470</v>
      </c>
      <c r="C111" s="9" t="s">
        <v>343</v>
      </c>
      <c r="D111" s="9" t="s">
        <v>147</v>
      </c>
      <c r="E111" s="9" t="s">
        <v>71</v>
      </c>
      <c r="F111" s="9" t="s">
        <v>45</v>
      </c>
      <c r="G111" s="9" t="s">
        <v>471</v>
      </c>
      <c r="H111" s="9" t="s">
        <v>149</v>
      </c>
      <c r="I111" s="9" t="s">
        <v>27</v>
      </c>
      <c r="J111" s="9" t="s">
        <v>39</v>
      </c>
      <c r="K111" s="10">
        <v>46031.0</v>
      </c>
      <c r="L111" s="10">
        <v>46041.0</v>
      </c>
      <c r="M111" s="9">
        <v>10.0</v>
      </c>
      <c r="N111" s="9"/>
      <c r="O111" s="9"/>
    </row>
    <row r="112" ht="15.75" customHeight="1">
      <c r="A112" s="12" t="s">
        <v>115</v>
      </c>
      <c r="B112" s="12" t="s">
        <v>472</v>
      </c>
      <c r="C112" s="12" t="s">
        <v>234</v>
      </c>
      <c r="D112" s="12" t="s">
        <v>395</v>
      </c>
      <c r="E112" s="12" t="s">
        <v>44</v>
      </c>
      <c r="F112" s="12" t="s">
        <v>24</v>
      </c>
      <c r="G112" s="12" t="s">
        <v>473</v>
      </c>
      <c r="H112" s="12" t="s">
        <v>397</v>
      </c>
      <c r="I112" s="12" t="s">
        <v>38</v>
      </c>
      <c r="J112" s="12" t="s">
        <v>48</v>
      </c>
      <c r="K112" s="13">
        <v>46044.0</v>
      </c>
      <c r="L112" s="13"/>
      <c r="M112" s="12"/>
      <c r="N112" s="12" t="s">
        <v>125</v>
      </c>
      <c r="O112" s="12"/>
    </row>
    <row r="113" ht="15.75" customHeight="1">
      <c r="A113" s="9" t="s">
        <v>62</v>
      </c>
      <c r="B113" s="9" t="s">
        <v>474</v>
      </c>
      <c r="C113" s="9" t="s">
        <v>195</v>
      </c>
      <c r="D113" s="9" t="s">
        <v>208</v>
      </c>
      <c r="E113" s="9" t="s">
        <v>97</v>
      </c>
      <c r="F113" s="9" t="s">
        <v>45</v>
      </c>
      <c r="G113" s="9" t="s">
        <v>475</v>
      </c>
      <c r="H113" s="9" t="s">
        <v>210</v>
      </c>
      <c r="I113" s="9" t="s">
        <v>55</v>
      </c>
      <c r="J113" s="9" t="s">
        <v>48</v>
      </c>
      <c r="K113" s="10">
        <v>46065.0</v>
      </c>
      <c r="L113" s="10"/>
      <c r="M113" s="9"/>
      <c r="N113" s="9" t="s">
        <v>29</v>
      </c>
      <c r="O113" s="9"/>
    </row>
    <row r="114" ht="15.75" customHeight="1">
      <c r="A114" s="12" t="s">
        <v>30</v>
      </c>
      <c r="B114" s="12" t="s">
        <v>476</v>
      </c>
      <c r="C114" s="12" t="s">
        <v>132</v>
      </c>
      <c r="D114" s="12" t="s">
        <v>477</v>
      </c>
      <c r="E114" s="12" t="s">
        <v>52</v>
      </c>
      <c r="F114" s="12" t="s">
        <v>45</v>
      </c>
      <c r="G114" s="12" t="s">
        <v>478</v>
      </c>
      <c r="H114" s="12" t="s">
        <v>479</v>
      </c>
      <c r="I114" s="12" t="s">
        <v>27</v>
      </c>
      <c r="J114" s="12" t="s">
        <v>39</v>
      </c>
      <c r="K114" s="13">
        <v>46031.0</v>
      </c>
      <c r="L114" s="13">
        <v>46039.0</v>
      </c>
      <c r="M114" s="12">
        <v>8.0</v>
      </c>
      <c r="N114" s="12"/>
      <c r="O114" s="12"/>
    </row>
    <row r="115" ht="15.75" customHeight="1">
      <c r="A115" s="9" t="s">
        <v>40</v>
      </c>
      <c r="B115" s="9" t="s">
        <v>480</v>
      </c>
      <c r="C115" s="9" t="s">
        <v>32</v>
      </c>
      <c r="D115" s="9" t="s">
        <v>219</v>
      </c>
      <c r="E115" s="9" t="s">
        <v>59</v>
      </c>
      <c r="F115" s="9" t="s">
        <v>24</v>
      </c>
      <c r="G115" s="9" t="s">
        <v>481</v>
      </c>
      <c r="H115" s="9" t="s">
        <v>221</v>
      </c>
      <c r="I115" s="9" t="s">
        <v>55</v>
      </c>
      <c r="J115" s="9" t="s">
        <v>39</v>
      </c>
      <c r="K115" s="10">
        <v>46064.0</v>
      </c>
      <c r="L115" s="10">
        <v>46073.0</v>
      </c>
      <c r="M115" s="9">
        <v>9.0</v>
      </c>
      <c r="N115" s="9"/>
      <c r="O115" s="9"/>
    </row>
    <row r="116" ht="15.75" customHeight="1">
      <c r="A116" s="12" t="s">
        <v>40</v>
      </c>
      <c r="B116" s="12" t="s">
        <v>482</v>
      </c>
      <c r="C116" s="12" t="s">
        <v>135</v>
      </c>
      <c r="D116" s="12" t="s">
        <v>80</v>
      </c>
      <c r="E116" s="12" t="s">
        <v>186</v>
      </c>
      <c r="F116" s="12" t="s">
        <v>35</v>
      </c>
      <c r="G116" s="12" t="s">
        <v>483</v>
      </c>
      <c r="H116" s="12" t="s">
        <v>83</v>
      </c>
      <c r="I116" s="12" t="s">
        <v>38</v>
      </c>
      <c r="J116" s="12" t="s">
        <v>48</v>
      </c>
      <c r="K116" s="13">
        <v>46032.0</v>
      </c>
      <c r="L116" s="13"/>
      <c r="M116" s="12"/>
      <c r="N116" s="12" t="s">
        <v>125</v>
      </c>
      <c r="O116" s="12"/>
    </row>
    <row r="117" ht="15.75" customHeight="1">
      <c r="A117" s="9" t="s">
        <v>62</v>
      </c>
      <c r="B117" s="9" t="s">
        <v>484</v>
      </c>
      <c r="C117" s="9" t="s">
        <v>90</v>
      </c>
      <c r="D117" s="9" t="s">
        <v>208</v>
      </c>
      <c r="E117" s="9" t="s">
        <v>23</v>
      </c>
      <c r="F117" s="9" t="s">
        <v>35</v>
      </c>
      <c r="G117" s="9" t="s">
        <v>485</v>
      </c>
      <c r="H117" s="9" t="s">
        <v>210</v>
      </c>
      <c r="I117" s="9" t="s">
        <v>38</v>
      </c>
      <c r="J117" s="9" t="s">
        <v>39</v>
      </c>
      <c r="K117" s="10">
        <v>46052.0</v>
      </c>
      <c r="L117" s="10">
        <v>46062.0</v>
      </c>
      <c r="M117" s="9">
        <v>10.0</v>
      </c>
      <c r="N117" s="9"/>
      <c r="O117" s="9"/>
    </row>
    <row r="118" ht="15.75" customHeight="1">
      <c r="A118" s="12" t="s">
        <v>115</v>
      </c>
      <c r="B118" s="12" t="s">
        <v>486</v>
      </c>
      <c r="C118" s="12" t="s">
        <v>42</v>
      </c>
      <c r="D118" s="12" t="s">
        <v>281</v>
      </c>
      <c r="E118" s="12" t="s">
        <v>52</v>
      </c>
      <c r="F118" s="12" t="s">
        <v>45</v>
      </c>
      <c r="G118" s="12" t="s">
        <v>487</v>
      </c>
      <c r="H118" s="12" t="s">
        <v>283</v>
      </c>
      <c r="I118" s="12" t="s">
        <v>55</v>
      </c>
      <c r="J118" s="12" t="s">
        <v>39</v>
      </c>
      <c r="K118" s="13">
        <v>46072.0</v>
      </c>
      <c r="L118" s="13">
        <v>46074.0</v>
      </c>
      <c r="M118" s="12">
        <v>2.0</v>
      </c>
      <c r="N118" s="12"/>
      <c r="O118" s="12"/>
    </row>
    <row r="119" ht="15.75" customHeight="1">
      <c r="A119" s="9" t="s">
        <v>19</v>
      </c>
      <c r="B119" s="9" t="s">
        <v>488</v>
      </c>
      <c r="C119" s="9" t="s">
        <v>489</v>
      </c>
      <c r="D119" s="9" t="s">
        <v>490</v>
      </c>
      <c r="E119" s="9" t="s">
        <v>186</v>
      </c>
      <c r="F119" s="9" t="s">
        <v>35</v>
      </c>
      <c r="G119" s="9" t="s">
        <v>491</v>
      </c>
      <c r="H119" s="9" t="s">
        <v>492</v>
      </c>
      <c r="I119" s="9" t="s">
        <v>38</v>
      </c>
      <c r="J119" s="9" t="s">
        <v>28</v>
      </c>
      <c r="K119" s="10">
        <v>46063.0</v>
      </c>
      <c r="L119" s="10"/>
      <c r="M119" s="9"/>
      <c r="N119" s="9" t="s">
        <v>29</v>
      </c>
      <c r="O119" s="9"/>
    </row>
    <row r="120" ht="15.75" customHeight="1">
      <c r="A120" s="12" t="s">
        <v>115</v>
      </c>
      <c r="B120" s="12" t="s">
        <v>493</v>
      </c>
      <c r="C120" s="12" t="s">
        <v>175</v>
      </c>
      <c r="D120" s="12" t="s">
        <v>494</v>
      </c>
      <c r="E120" s="12" t="s">
        <v>34</v>
      </c>
      <c r="F120" s="12" t="s">
        <v>24</v>
      </c>
      <c r="G120" s="12" t="s">
        <v>495</v>
      </c>
      <c r="H120" s="12" t="s">
        <v>496</v>
      </c>
      <c r="I120" s="12" t="s">
        <v>38</v>
      </c>
      <c r="J120" s="12" t="s">
        <v>28</v>
      </c>
      <c r="K120" s="13">
        <v>46071.0</v>
      </c>
      <c r="L120" s="13"/>
      <c r="M120" s="12"/>
      <c r="N120" s="12"/>
      <c r="O120" s="12"/>
    </row>
    <row r="121" ht="15.75" customHeight="1">
      <c r="A121" s="9" t="s">
        <v>30</v>
      </c>
      <c r="B121" s="9" t="s">
        <v>497</v>
      </c>
      <c r="C121" s="9" t="s">
        <v>417</v>
      </c>
      <c r="D121" s="9" t="s">
        <v>494</v>
      </c>
      <c r="E121" s="9" t="s">
        <v>186</v>
      </c>
      <c r="F121" s="9" t="s">
        <v>24</v>
      </c>
      <c r="G121" s="9" t="s">
        <v>498</v>
      </c>
      <c r="H121" s="9" t="s">
        <v>496</v>
      </c>
      <c r="I121" s="9" t="s">
        <v>27</v>
      </c>
      <c r="J121" s="9" t="s">
        <v>28</v>
      </c>
      <c r="K121" s="10">
        <v>46023.0</v>
      </c>
      <c r="L121" s="10"/>
      <c r="M121" s="9"/>
      <c r="N121" s="9" t="s">
        <v>125</v>
      </c>
      <c r="O121" s="9"/>
    </row>
    <row r="122" ht="15.75" customHeight="1">
      <c r="A122" s="12" t="s">
        <v>30</v>
      </c>
      <c r="B122" s="12" t="s">
        <v>499</v>
      </c>
      <c r="C122" s="12" t="s">
        <v>417</v>
      </c>
      <c r="D122" s="12" t="s">
        <v>500</v>
      </c>
      <c r="E122" s="12" t="s">
        <v>97</v>
      </c>
      <c r="F122" s="12" t="s">
        <v>35</v>
      </c>
      <c r="G122" s="12" t="s">
        <v>501</v>
      </c>
      <c r="H122" s="12" t="s">
        <v>502</v>
      </c>
      <c r="I122" s="12" t="s">
        <v>55</v>
      </c>
      <c r="J122" s="12" t="s">
        <v>48</v>
      </c>
      <c r="K122" s="13">
        <v>46072.0</v>
      </c>
      <c r="L122" s="13"/>
      <c r="M122" s="12"/>
      <c r="N122" s="12"/>
      <c r="O122" s="12"/>
    </row>
    <row r="123" ht="15.75" customHeight="1">
      <c r="A123" s="9" t="s">
        <v>62</v>
      </c>
      <c r="B123" s="9" t="s">
        <v>503</v>
      </c>
      <c r="C123" s="9" t="s">
        <v>132</v>
      </c>
      <c r="D123" s="9" t="s">
        <v>504</v>
      </c>
      <c r="E123" s="9" t="s">
        <v>71</v>
      </c>
      <c r="F123" s="9" t="s">
        <v>35</v>
      </c>
      <c r="G123" s="9" t="s">
        <v>505</v>
      </c>
      <c r="H123" s="9" t="s">
        <v>506</v>
      </c>
      <c r="I123" s="9" t="s">
        <v>55</v>
      </c>
      <c r="J123" s="9" t="s">
        <v>28</v>
      </c>
      <c r="K123" s="10">
        <v>46057.0</v>
      </c>
      <c r="L123" s="10"/>
      <c r="M123" s="9"/>
      <c r="N123" s="9" t="s">
        <v>29</v>
      </c>
      <c r="O123" s="9"/>
    </row>
    <row r="124" ht="15.75" customHeight="1">
      <c r="A124" s="12" t="s">
        <v>30</v>
      </c>
      <c r="B124" s="12" t="s">
        <v>507</v>
      </c>
      <c r="C124" s="12" t="s">
        <v>111</v>
      </c>
      <c r="D124" s="12" t="s">
        <v>508</v>
      </c>
      <c r="E124" s="12" t="s">
        <v>44</v>
      </c>
      <c r="F124" s="12" t="s">
        <v>24</v>
      </c>
      <c r="G124" s="12" t="s">
        <v>509</v>
      </c>
      <c r="H124" s="12" t="s">
        <v>510</v>
      </c>
      <c r="I124" s="12" t="s">
        <v>27</v>
      </c>
      <c r="J124" s="12" t="s">
        <v>39</v>
      </c>
      <c r="K124" s="13">
        <v>46056.0</v>
      </c>
      <c r="L124" s="13">
        <v>46062.0</v>
      </c>
      <c r="M124" s="12">
        <v>6.0</v>
      </c>
      <c r="N124" s="12"/>
      <c r="O124" s="12"/>
    </row>
    <row r="125" ht="15.75" customHeight="1">
      <c r="A125" s="9" t="s">
        <v>62</v>
      </c>
      <c r="B125" s="9" t="s">
        <v>511</v>
      </c>
      <c r="C125" s="9" t="s">
        <v>57</v>
      </c>
      <c r="D125" s="9" t="s">
        <v>357</v>
      </c>
      <c r="E125" s="9" t="s">
        <v>186</v>
      </c>
      <c r="F125" s="9" t="s">
        <v>24</v>
      </c>
      <c r="G125" s="9" t="s">
        <v>512</v>
      </c>
      <c r="H125" s="9" t="s">
        <v>359</v>
      </c>
      <c r="I125" s="9" t="s">
        <v>55</v>
      </c>
      <c r="J125" s="9" t="s">
        <v>48</v>
      </c>
      <c r="K125" s="10">
        <v>46052.0</v>
      </c>
      <c r="L125" s="10"/>
      <c r="M125" s="9"/>
      <c r="N125" s="9" t="s">
        <v>29</v>
      </c>
      <c r="O125" s="9"/>
    </row>
    <row r="126" ht="15.75" customHeight="1">
      <c r="A126" s="12" t="s">
        <v>115</v>
      </c>
      <c r="B126" s="12" t="s">
        <v>513</v>
      </c>
      <c r="C126" s="12" t="s">
        <v>190</v>
      </c>
      <c r="D126" s="12" t="s">
        <v>444</v>
      </c>
      <c r="E126" s="12" t="s">
        <v>34</v>
      </c>
      <c r="F126" s="12" t="s">
        <v>35</v>
      </c>
      <c r="G126" s="12" t="s">
        <v>514</v>
      </c>
      <c r="H126" s="12" t="s">
        <v>446</v>
      </c>
      <c r="I126" s="12" t="s">
        <v>55</v>
      </c>
      <c r="J126" s="12" t="s">
        <v>39</v>
      </c>
      <c r="K126" s="13">
        <v>46073.0</v>
      </c>
      <c r="L126" s="13">
        <v>46078.0</v>
      </c>
      <c r="M126" s="12">
        <v>5.0</v>
      </c>
      <c r="N126" s="12"/>
      <c r="O126" s="12"/>
    </row>
    <row r="127" ht="15.75" customHeight="1">
      <c r="A127" s="9" t="s">
        <v>19</v>
      </c>
      <c r="B127" s="9" t="s">
        <v>515</v>
      </c>
      <c r="C127" s="9" t="s">
        <v>140</v>
      </c>
      <c r="D127" s="9" t="s">
        <v>516</v>
      </c>
      <c r="E127" s="9" t="s">
        <v>52</v>
      </c>
      <c r="F127" s="9" t="s">
        <v>45</v>
      </c>
      <c r="G127" s="9" t="s">
        <v>517</v>
      </c>
      <c r="H127" s="9" t="s">
        <v>518</v>
      </c>
      <c r="I127" s="9" t="s">
        <v>38</v>
      </c>
      <c r="J127" s="9" t="s">
        <v>39</v>
      </c>
      <c r="K127" s="10">
        <v>46045.0</v>
      </c>
      <c r="L127" s="10">
        <v>46052.0</v>
      </c>
      <c r="M127" s="9">
        <v>7.0</v>
      </c>
      <c r="N127" s="9"/>
      <c r="O127" s="9"/>
    </row>
    <row r="128" ht="15.75" customHeight="1">
      <c r="A128" s="12" t="s">
        <v>62</v>
      </c>
      <c r="B128" s="12" t="s">
        <v>519</v>
      </c>
      <c r="C128" s="12" t="s">
        <v>520</v>
      </c>
      <c r="D128" s="12" t="s">
        <v>245</v>
      </c>
      <c r="E128" s="12" t="s">
        <v>186</v>
      </c>
      <c r="F128" s="12" t="s">
        <v>24</v>
      </c>
      <c r="G128" s="12" t="s">
        <v>521</v>
      </c>
      <c r="H128" s="12" t="s">
        <v>247</v>
      </c>
      <c r="I128" s="12" t="s">
        <v>38</v>
      </c>
      <c r="J128" s="12" t="s">
        <v>39</v>
      </c>
      <c r="K128" s="13">
        <v>46081.0</v>
      </c>
      <c r="L128" s="13">
        <v>46090.0</v>
      </c>
      <c r="M128" s="12">
        <v>9.0</v>
      </c>
      <c r="N128" s="12"/>
      <c r="O128" s="12"/>
    </row>
    <row r="129" ht="15.75" customHeight="1">
      <c r="A129" s="9" t="s">
        <v>30</v>
      </c>
      <c r="B129" s="9" t="s">
        <v>522</v>
      </c>
      <c r="C129" s="9" t="s">
        <v>343</v>
      </c>
      <c r="D129" s="9" t="s">
        <v>272</v>
      </c>
      <c r="E129" s="9" t="s">
        <v>23</v>
      </c>
      <c r="F129" s="9" t="s">
        <v>35</v>
      </c>
      <c r="G129" s="9" t="s">
        <v>523</v>
      </c>
      <c r="H129" s="9" t="s">
        <v>274</v>
      </c>
      <c r="I129" s="9" t="s">
        <v>38</v>
      </c>
      <c r="J129" s="9" t="s">
        <v>48</v>
      </c>
      <c r="K129" s="10">
        <v>46043.0</v>
      </c>
      <c r="L129" s="10"/>
      <c r="M129" s="9"/>
      <c r="N129" s="9" t="s">
        <v>125</v>
      </c>
      <c r="O129" s="9"/>
    </row>
    <row r="130" ht="15.75" customHeight="1">
      <c r="A130" s="12" t="s">
        <v>40</v>
      </c>
      <c r="B130" s="12" t="s">
        <v>524</v>
      </c>
      <c r="C130" s="12" t="s">
        <v>215</v>
      </c>
      <c r="D130" s="12" t="s">
        <v>147</v>
      </c>
      <c r="E130" s="12" t="s">
        <v>44</v>
      </c>
      <c r="F130" s="12" t="s">
        <v>45</v>
      </c>
      <c r="G130" s="12" t="s">
        <v>525</v>
      </c>
      <c r="H130" s="12" t="s">
        <v>149</v>
      </c>
      <c r="I130" s="12" t="s">
        <v>38</v>
      </c>
      <c r="J130" s="12" t="s">
        <v>28</v>
      </c>
      <c r="K130" s="13">
        <v>46047.0</v>
      </c>
      <c r="L130" s="13"/>
      <c r="M130" s="12"/>
      <c r="N130" s="12" t="s">
        <v>125</v>
      </c>
      <c r="O130" s="12"/>
    </row>
    <row r="131" ht="15.75" customHeight="1">
      <c r="A131" s="9" t="s">
        <v>19</v>
      </c>
      <c r="B131" s="9" t="s">
        <v>526</v>
      </c>
      <c r="C131" s="9" t="s">
        <v>95</v>
      </c>
      <c r="D131" s="9" t="s">
        <v>58</v>
      </c>
      <c r="E131" s="9" t="s">
        <v>71</v>
      </c>
      <c r="F131" s="9" t="s">
        <v>45</v>
      </c>
      <c r="G131" s="9" t="s">
        <v>527</v>
      </c>
      <c r="H131" s="9" t="s">
        <v>61</v>
      </c>
      <c r="I131" s="9" t="s">
        <v>27</v>
      </c>
      <c r="J131" s="9" t="s">
        <v>28</v>
      </c>
      <c r="K131" s="10">
        <v>46076.0</v>
      </c>
      <c r="L131" s="10"/>
      <c r="M131" s="9"/>
      <c r="N131" s="9"/>
      <c r="O131" s="9"/>
    </row>
    <row r="132" ht="15.75" customHeight="1">
      <c r="A132" s="12" t="s">
        <v>19</v>
      </c>
      <c r="B132" s="12" t="s">
        <v>528</v>
      </c>
      <c r="C132" s="12" t="s">
        <v>417</v>
      </c>
      <c r="D132" s="12" t="s">
        <v>382</v>
      </c>
      <c r="E132" s="12" t="s">
        <v>59</v>
      </c>
      <c r="F132" s="12" t="s">
        <v>45</v>
      </c>
      <c r="G132" s="12" t="s">
        <v>529</v>
      </c>
      <c r="H132" s="12" t="s">
        <v>384</v>
      </c>
      <c r="I132" s="12" t="s">
        <v>38</v>
      </c>
      <c r="J132" s="12" t="s">
        <v>48</v>
      </c>
      <c r="K132" s="13">
        <v>46037.0</v>
      </c>
      <c r="L132" s="13"/>
      <c r="M132" s="12"/>
      <c r="N132" s="12" t="s">
        <v>125</v>
      </c>
      <c r="O132" s="12"/>
    </row>
    <row r="133" ht="15.75" customHeight="1">
      <c r="A133" s="9" t="s">
        <v>30</v>
      </c>
      <c r="B133" s="9" t="s">
        <v>530</v>
      </c>
      <c r="C133" s="9" t="s">
        <v>143</v>
      </c>
      <c r="D133" s="9" t="s">
        <v>404</v>
      </c>
      <c r="E133" s="9" t="s">
        <v>71</v>
      </c>
      <c r="F133" s="9" t="s">
        <v>24</v>
      </c>
      <c r="G133" s="9" t="s">
        <v>531</v>
      </c>
      <c r="H133" s="9" t="s">
        <v>406</v>
      </c>
      <c r="I133" s="9" t="s">
        <v>38</v>
      </c>
      <c r="J133" s="9" t="s">
        <v>28</v>
      </c>
      <c r="K133" s="10">
        <v>46048.0</v>
      </c>
      <c r="L133" s="10"/>
      <c r="M133" s="9"/>
      <c r="N133" s="9" t="s">
        <v>125</v>
      </c>
      <c r="O133" s="9"/>
    </row>
    <row r="134" ht="15.75" customHeight="1">
      <c r="A134" s="12" t="s">
        <v>62</v>
      </c>
      <c r="B134" s="12" t="s">
        <v>532</v>
      </c>
      <c r="C134" s="12" t="s">
        <v>165</v>
      </c>
      <c r="D134" s="12" t="s">
        <v>136</v>
      </c>
      <c r="E134" s="12" t="s">
        <v>81</v>
      </c>
      <c r="F134" s="12" t="s">
        <v>45</v>
      </c>
      <c r="G134" s="12" t="s">
        <v>533</v>
      </c>
      <c r="H134" s="12" t="s">
        <v>138</v>
      </c>
      <c r="I134" s="12" t="s">
        <v>55</v>
      </c>
      <c r="J134" s="12" t="s">
        <v>28</v>
      </c>
      <c r="K134" s="13">
        <v>46021.0</v>
      </c>
      <c r="L134" s="13"/>
      <c r="M134" s="12"/>
      <c r="N134" s="12" t="s">
        <v>125</v>
      </c>
      <c r="O134" s="12"/>
    </row>
    <row r="135" ht="15.75" customHeight="1">
      <c r="A135" s="9" t="s">
        <v>30</v>
      </c>
      <c r="B135" s="9" t="s">
        <v>534</v>
      </c>
      <c r="C135" s="9" t="s">
        <v>160</v>
      </c>
      <c r="D135" s="9" t="s">
        <v>136</v>
      </c>
      <c r="E135" s="9" t="s">
        <v>118</v>
      </c>
      <c r="F135" s="9" t="s">
        <v>45</v>
      </c>
      <c r="G135" s="9" t="s">
        <v>535</v>
      </c>
      <c r="H135" s="9" t="s">
        <v>138</v>
      </c>
      <c r="I135" s="9" t="s">
        <v>27</v>
      </c>
      <c r="J135" s="9" t="s">
        <v>48</v>
      </c>
      <c r="K135" s="10">
        <v>46054.0</v>
      </c>
      <c r="L135" s="10"/>
      <c r="M135" s="9"/>
      <c r="N135" s="9" t="s">
        <v>29</v>
      </c>
      <c r="O135" s="9"/>
    </row>
    <row r="136" ht="15.75" customHeight="1">
      <c r="A136" s="12" t="s">
        <v>40</v>
      </c>
      <c r="B136" s="12" t="s">
        <v>536</v>
      </c>
      <c r="C136" s="12" t="s">
        <v>178</v>
      </c>
      <c r="D136" s="12" t="s">
        <v>391</v>
      </c>
      <c r="E136" s="12" t="s">
        <v>52</v>
      </c>
      <c r="F136" s="12" t="s">
        <v>45</v>
      </c>
      <c r="G136" s="12" t="s">
        <v>537</v>
      </c>
      <c r="H136" s="12" t="s">
        <v>393</v>
      </c>
      <c r="I136" s="12" t="s">
        <v>55</v>
      </c>
      <c r="J136" s="12" t="s">
        <v>48</v>
      </c>
      <c r="K136" s="13">
        <v>46034.0</v>
      </c>
      <c r="L136" s="13"/>
      <c r="M136" s="12"/>
      <c r="N136" s="12" t="s">
        <v>125</v>
      </c>
      <c r="O136" s="12"/>
    </row>
    <row r="137" ht="15.75" customHeight="1">
      <c r="A137" s="9" t="s">
        <v>62</v>
      </c>
      <c r="B137" s="9" t="s">
        <v>538</v>
      </c>
      <c r="C137" s="9" t="s">
        <v>410</v>
      </c>
      <c r="D137" s="9" t="s">
        <v>539</v>
      </c>
      <c r="E137" s="9" t="s">
        <v>52</v>
      </c>
      <c r="F137" s="9" t="s">
        <v>24</v>
      </c>
      <c r="G137" s="9" t="s">
        <v>540</v>
      </c>
      <c r="H137" s="9" t="s">
        <v>541</v>
      </c>
      <c r="I137" s="9" t="s">
        <v>38</v>
      </c>
      <c r="J137" s="9" t="s">
        <v>48</v>
      </c>
      <c r="K137" s="10">
        <v>46052.0</v>
      </c>
      <c r="L137" s="10"/>
      <c r="M137" s="9"/>
      <c r="N137" s="9" t="s">
        <v>29</v>
      </c>
      <c r="O137" s="9"/>
    </row>
    <row r="138" ht="15.75" customHeight="1">
      <c r="A138" s="12" t="s">
        <v>62</v>
      </c>
      <c r="B138" s="12" t="s">
        <v>542</v>
      </c>
      <c r="C138" s="12" t="s">
        <v>227</v>
      </c>
      <c r="D138" s="12" t="s">
        <v>191</v>
      </c>
      <c r="E138" s="12" t="s">
        <v>186</v>
      </c>
      <c r="F138" s="12" t="s">
        <v>45</v>
      </c>
      <c r="G138" s="12" t="s">
        <v>543</v>
      </c>
      <c r="H138" s="12" t="s">
        <v>193</v>
      </c>
      <c r="I138" s="12" t="s">
        <v>27</v>
      </c>
      <c r="J138" s="12" t="s">
        <v>28</v>
      </c>
      <c r="K138" s="13">
        <v>46048.0</v>
      </c>
      <c r="L138" s="13"/>
      <c r="M138" s="12"/>
      <c r="N138" s="12" t="s">
        <v>125</v>
      </c>
      <c r="O138" s="12"/>
    </row>
    <row r="139" ht="15.75" customHeight="1">
      <c r="A139" s="9" t="s">
        <v>62</v>
      </c>
      <c r="B139" s="9" t="s">
        <v>544</v>
      </c>
      <c r="C139" s="9" t="s">
        <v>354</v>
      </c>
      <c r="D139" s="9" t="s">
        <v>230</v>
      </c>
      <c r="E139" s="9" t="s">
        <v>97</v>
      </c>
      <c r="F139" s="9" t="s">
        <v>45</v>
      </c>
      <c r="G139" s="9" t="s">
        <v>545</v>
      </c>
      <c r="H139" s="9" t="s">
        <v>232</v>
      </c>
      <c r="I139" s="9" t="s">
        <v>27</v>
      </c>
      <c r="J139" s="9" t="s">
        <v>28</v>
      </c>
      <c r="K139" s="10">
        <v>46080.0</v>
      </c>
      <c r="L139" s="10"/>
      <c r="M139" s="9"/>
      <c r="N139" s="9"/>
      <c r="O139" s="9"/>
    </row>
    <row r="140" ht="15.75" customHeight="1">
      <c r="A140" s="12" t="s">
        <v>40</v>
      </c>
      <c r="B140" s="12" t="s">
        <v>546</v>
      </c>
      <c r="C140" s="12" t="s">
        <v>32</v>
      </c>
      <c r="D140" s="12" t="s">
        <v>448</v>
      </c>
      <c r="E140" s="12" t="s">
        <v>81</v>
      </c>
      <c r="F140" s="12" t="s">
        <v>24</v>
      </c>
      <c r="G140" s="12" t="s">
        <v>547</v>
      </c>
      <c r="H140" s="12" t="s">
        <v>450</v>
      </c>
      <c r="I140" s="12" t="s">
        <v>27</v>
      </c>
      <c r="J140" s="12" t="s">
        <v>48</v>
      </c>
      <c r="K140" s="13">
        <v>46021.0</v>
      </c>
      <c r="L140" s="13"/>
      <c r="M140" s="12"/>
      <c r="N140" s="12" t="s">
        <v>125</v>
      </c>
      <c r="O140" s="12"/>
    </row>
    <row r="141" ht="15.75" customHeight="1">
      <c r="A141" s="9" t="s">
        <v>62</v>
      </c>
      <c r="B141" s="9" t="s">
        <v>548</v>
      </c>
      <c r="C141" s="9" t="s">
        <v>175</v>
      </c>
      <c r="D141" s="9" t="s">
        <v>91</v>
      </c>
      <c r="E141" s="9" t="s">
        <v>186</v>
      </c>
      <c r="F141" s="9" t="s">
        <v>45</v>
      </c>
      <c r="G141" s="9" t="s">
        <v>549</v>
      </c>
      <c r="H141" s="9" t="s">
        <v>93</v>
      </c>
      <c r="I141" s="9" t="s">
        <v>55</v>
      </c>
      <c r="J141" s="9" t="s">
        <v>48</v>
      </c>
      <c r="K141" s="10">
        <v>46067.0</v>
      </c>
      <c r="L141" s="10"/>
      <c r="M141" s="9"/>
      <c r="N141" s="9"/>
      <c r="O141" s="9"/>
    </row>
    <row r="142" ht="15.75" customHeight="1">
      <c r="A142" s="12" t="s">
        <v>40</v>
      </c>
      <c r="B142" s="12" t="s">
        <v>550</v>
      </c>
      <c r="C142" s="12" t="s">
        <v>551</v>
      </c>
      <c r="D142" s="12" t="s">
        <v>219</v>
      </c>
      <c r="E142" s="12" t="s">
        <v>118</v>
      </c>
      <c r="F142" s="12" t="s">
        <v>24</v>
      </c>
      <c r="G142" s="12" t="s">
        <v>552</v>
      </c>
      <c r="H142" s="12" t="s">
        <v>221</v>
      </c>
      <c r="I142" s="12" t="s">
        <v>55</v>
      </c>
      <c r="J142" s="12" t="s">
        <v>39</v>
      </c>
      <c r="K142" s="13">
        <v>46057.0</v>
      </c>
      <c r="L142" s="13">
        <v>46064.0</v>
      </c>
      <c r="M142" s="12">
        <v>7.0</v>
      </c>
      <c r="N142" s="12"/>
      <c r="O142" s="12"/>
    </row>
    <row r="143" ht="15.75" customHeight="1">
      <c r="A143" s="9" t="s">
        <v>115</v>
      </c>
      <c r="B143" s="9" t="s">
        <v>553</v>
      </c>
      <c r="C143" s="9" t="s">
        <v>554</v>
      </c>
      <c r="D143" s="9" t="s">
        <v>555</v>
      </c>
      <c r="E143" s="9" t="s">
        <v>186</v>
      </c>
      <c r="F143" s="9" t="s">
        <v>45</v>
      </c>
      <c r="G143" s="9" t="s">
        <v>556</v>
      </c>
      <c r="H143" s="9" t="s">
        <v>557</v>
      </c>
      <c r="I143" s="9" t="s">
        <v>38</v>
      </c>
      <c r="J143" s="9" t="s">
        <v>39</v>
      </c>
      <c r="K143" s="10">
        <v>46038.0</v>
      </c>
      <c r="L143" s="10">
        <v>46045.0</v>
      </c>
      <c r="M143" s="9">
        <v>7.0</v>
      </c>
      <c r="N143" s="9"/>
      <c r="O143" s="9"/>
    </row>
    <row r="144" ht="15.75" customHeight="1">
      <c r="A144" s="12" t="s">
        <v>62</v>
      </c>
      <c r="B144" s="12" t="s">
        <v>558</v>
      </c>
      <c r="C144" s="12" t="s">
        <v>285</v>
      </c>
      <c r="D144" s="12" t="s">
        <v>559</v>
      </c>
      <c r="E144" s="12" t="s">
        <v>59</v>
      </c>
      <c r="F144" s="12" t="s">
        <v>45</v>
      </c>
      <c r="G144" s="12" t="s">
        <v>560</v>
      </c>
      <c r="H144" s="12" t="s">
        <v>561</v>
      </c>
      <c r="I144" s="12" t="s">
        <v>27</v>
      </c>
      <c r="J144" s="12" t="s">
        <v>39</v>
      </c>
      <c r="K144" s="13">
        <v>46023.0</v>
      </c>
      <c r="L144" s="13">
        <v>46031.0</v>
      </c>
      <c r="M144" s="12">
        <v>8.0</v>
      </c>
      <c r="N144" s="12"/>
      <c r="O144" s="12"/>
    </row>
    <row r="145" ht="15.75" customHeight="1">
      <c r="A145" s="9" t="s">
        <v>19</v>
      </c>
      <c r="B145" s="9" t="s">
        <v>562</v>
      </c>
      <c r="C145" s="9" t="s">
        <v>290</v>
      </c>
      <c r="D145" s="9" t="s">
        <v>504</v>
      </c>
      <c r="E145" s="9" t="s">
        <v>71</v>
      </c>
      <c r="F145" s="9" t="s">
        <v>45</v>
      </c>
      <c r="G145" s="9" t="s">
        <v>563</v>
      </c>
      <c r="H145" s="9" t="s">
        <v>506</v>
      </c>
      <c r="I145" s="9" t="s">
        <v>27</v>
      </c>
      <c r="J145" s="9" t="s">
        <v>39</v>
      </c>
      <c r="K145" s="10">
        <v>46081.0</v>
      </c>
      <c r="L145" s="10">
        <v>46087.0</v>
      </c>
      <c r="M145" s="9">
        <v>6.0</v>
      </c>
      <c r="N145" s="9"/>
      <c r="O145" s="9"/>
    </row>
    <row r="146" ht="15.75" customHeight="1">
      <c r="A146" s="12" t="s">
        <v>62</v>
      </c>
      <c r="B146" s="12" t="s">
        <v>564</v>
      </c>
      <c r="C146" s="12" t="s">
        <v>368</v>
      </c>
      <c r="D146" s="12" t="s">
        <v>565</v>
      </c>
      <c r="E146" s="12" t="s">
        <v>81</v>
      </c>
      <c r="F146" s="12" t="s">
        <v>24</v>
      </c>
      <c r="G146" s="12" t="s">
        <v>566</v>
      </c>
      <c r="H146" s="12" t="s">
        <v>567</v>
      </c>
      <c r="I146" s="12" t="s">
        <v>55</v>
      </c>
      <c r="J146" s="12" t="s">
        <v>39</v>
      </c>
      <c r="K146" s="13">
        <v>46061.0</v>
      </c>
      <c r="L146" s="13">
        <v>46065.0</v>
      </c>
      <c r="M146" s="12">
        <v>4.0</v>
      </c>
      <c r="N146" s="12"/>
      <c r="O146" s="12"/>
    </row>
    <row r="147" ht="15.75" customHeight="1">
      <c r="A147" s="9" t="s">
        <v>30</v>
      </c>
      <c r="B147" s="9" t="s">
        <v>568</v>
      </c>
      <c r="C147" s="9" t="s">
        <v>569</v>
      </c>
      <c r="D147" s="9" t="s">
        <v>570</v>
      </c>
      <c r="E147" s="9" t="s">
        <v>23</v>
      </c>
      <c r="F147" s="9" t="s">
        <v>45</v>
      </c>
      <c r="G147" s="9" t="s">
        <v>571</v>
      </c>
      <c r="H147" s="9" t="s">
        <v>572</v>
      </c>
      <c r="I147" s="9" t="s">
        <v>27</v>
      </c>
      <c r="J147" s="9" t="s">
        <v>28</v>
      </c>
      <c r="K147" s="10">
        <v>46036.0</v>
      </c>
      <c r="L147" s="10"/>
      <c r="M147" s="9"/>
      <c r="N147" s="9" t="s">
        <v>125</v>
      </c>
      <c r="O147" s="9"/>
    </row>
    <row r="148" ht="15.75" customHeight="1">
      <c r="A148" s="12" t="s">
        <v>62</v>
      </c>
      <c r="B148" s="12" t="s">
        <v>573</v>
      </c>
      <c r="C148" s="12" t="s">
        <v>338</v>
      </c>
      <c r="D148" s="12" t="s">
        <v>268</v>
      </c>
      <c r="E148" s="12" t="s">
        <v>71</v>
      </c>
      <c r="F148" s="12" t="s">
        <v>24</v>
      </c>
      <c r="G148" s="12" t="s">
        <v>574</v>
      </c>
      <c r="H148" s="12" t="s">
        <v>270</v>
      </c>
      <c r="I148" s="12" t="s">
        <v>55</v>
      </c>
      <c r="J148" s="12" t="s">
        <v>39</v>
      </c>
      <c r="K148" s="13">
        <v>46069.0</v>
      </c>
      <c r="L148" s="13">
        <v>46078.0</v>
      </c>
      <c r="M148" s="12">
        <v>9.0</v>
      </c>
      <c r="N148" s="12"/>
      <c r="O148" s="12"/>
    </row>
    <row r="149" ht="15.75" customHeight="1">
      <c r="A149" s="9" t="s">
        <v>30</v>
      </c>
      <c r="B149" s="9" t="s">
        <v>575</v>
      </c>
      <c r="C149" s="9" t="s">
        <v>381</v>
      </c>
      <c r="D149" s="9" t="s">
        <v>490</v>
      </c>
      <c r="E149" s="9" t="s">
        <v>59</v>
      </c>
      <c r="F149" s="9" t="s">
        <v>45</v>
      </c>
      <c r="G149" s="9" t="s">
        <v>576</v>
      </c>
      <c r="H149" s="9" t="s">
        <v>492</v>
      </c>
      <c r="I149" s="9" t="s">
        <v>55</v>
      </c>
      <c r="J149" s="9" t="s">
        <v>39</v>
      </c>
      <c r="K149" s="10">
        <v>46075.0</v>
      </c>
      <c r="L149" s="10">
        <v>46081.0</v>
      </c>
      <c r="M149" s="9">
        <v>6.0</v>
      </c>
      <c r="N149" s="9"/>
      <c r="O149" s="9"/>
    </row>
    <row r="150" ht="15.75" customHeight="1">
      <c r="A150" s="12" t="s">
        <v>19</v>
      </c>
      <c r="B150" s="12" t="s">
        <v>577</v>
      </c>
      <c r="C150" s="12" t="s">
        <v>57</v>
      </c>
      <c r="D150" s="12" t="s">
        <v>400</v>
      </c>
      <c r="E150" s="12" t="s">
        <v>59</v>
      </c>
      <c r="F150" s="12" t="s">
        <v>35</v>
      </c>
      <c r="G150" s="12" t="s">
        <v>578</v>
      </c>
      <c r="H150" s="12" t="s">
        <v>402</v>
      </c>
      <c r="I150" s="12" t="s">
        <v>27</v>
      </c>
      <c r="J150" s="12" t="s">
        <v>48</v>
      </c>
      <c r="K150" s="13">
        <v>46047.0</v>
      </c>
      <c r="L150" s="13"/>
      <c r="M150" s="12"/>
      <c r="N150" s="12" t="s">
        <v>125</v>
      </c>
      <c r="O150" s="12"/>
    </row>
    <row r="151" ht="15.75" customHeight="1">
      <c r="A151" s="9" t="s">
        <v>115</v>
      </c>
      <c r="B151" s="9" t="s">
        <v>579</v>
      </c>
      <c r="C151" s="9" t="s">
        <v>399</v>
      </c>
      <c r="D151" s="9" t="s">
        <v>452</v>
      </c>
      <c r="E151" s="9" t="s">
        <v>59</v>
      </c>
      <c r="F151" s="9" t="s">
        <v>35</v>
      </c>
      <c r="G151" s="9" t="s">
        <v>580</v>
      </c>
      <c r="H151" s="9" t="s">
        <v>454</v>
      </c>
      <c r="I151" s="9" t="s">
        <v>38</v>
      </c>
      <c r="J151" s="9" t="s">
        <v>48</v>
      </c>
      <c r="K151" s="10">
        <v>46022.0</v>
      </c>
      <c r="L151" s="10"/>
      <c r="M151" s="9"/>
      <c r="N151" s="9" t="s">
        <v>125</v>
      </c>
      <c r="O151" s="9"/>
    </row>
    <row r="152" ht="15.75" customHeight="1">
      <c r="A152" s="12" t="s">
        <v>19</v>
      </c>
      <c r="B152" s="12" t="s">
        <v>581</v>
      </c>
      <c r="C152" s="12" t="s">
        <v>132</v>
      </c>
      <c r="D152" s="12" t="s">
        <v>582</v>
      </c>
      <c r="E152" s="12" t="s">
        <v>52</v>
      </c>
      <c r="F152" s="12" t="s">
        <v>45</v>
      </c>
      <c r="G152" s="12" t="s">
        <v>583</v>
      </c>
      <c r="H152" s="12" t="s">
        <v>584</v>
      </c>
      <c r="I152" s="12" t="s">
        <v>27</v>
      </c>
      <c r="J152" s="12" t="s">
        <v>48</v>
      </c>
      <c r="K152" s="13">
        <v>46060.0</v>
      </c>
      <c r="L152" s="13"/>
      <c r="M152" s="12"/>
      <c r="N152" s="12" t="s">
        <v>29</v>
      </c>
      <c r="O152" s="12"/>
    </row>
    <row r="153" ht="15.75" customHeight="1">
      <c r="A153" s="9" t="s">
        <v>30</v>
      </c>
      <c r="B153" s="9" t="s">
        <v>585</v>
      </c>
      <c r="C153" s="9" t="s">
        <v>170</v>
      </c>
      <c r="D153" s="9" t="s">
        <v>586</v>
      </c>
      <c r="E153" s="9" t="s">
        <v>23</v>
      </c>
      <c r="F153" s="9" t="s">
        <v>24</v>
      </c>
      <c r="G153" s="9" t="s">
        <v>587</v>
      </c>
      <c r="H153" s="9" t="s">
        <v>588</v>
      </c>
      <c r="I153" s="9" t="s">
        <v>27</v>
      </c>
      <c r="J153" s="9" t="s">
        <v>28</v>
      </c>
      <c r="K153" s="10">
        <v>46045.0</v>
      </c>
      <c r="L153" s="10"/>
      <c r="M153" s="9"/>
      <c r="N153" s="9" t="s">
        <v>125</v>
      </c>
      <c r="O153" s="9"/>
    </row>
    <row r="154" ht="15.75" customHeight="1">
      <c r="A154" s="12" t="s">
        <v>40</v>
      </c>
      <c r="B154" s="12" t="s">
        <v>589</v>
      </c>
      <c r="C154" s="12" t="s">
        <v>212</v>
      </c>
      <c r="D154" s="12" t="s">
        <v>377</v>
      </c>
      <c r="E154" s="12" t="s">
        <v>34</v>
      </c>
      <c r="F154" s="12" t="s">
        <v>45</v>
      </c>
      <c r="G154" s="12" t="s">
        <v>590</v>
      </c>
      <c r="H154" s="12" t="s">
        <v>379</v>
      </c>
      <c r="I154" s="12" t="s">
        <v>27</v>
      </c>
      <c r="J154" s="12" t="s">
        <v>48</v>
      </c>
      <c r="K154" s="13">
        <v>46028.0</v>
      </c>
      <c r="L154" s="13"/>
      <c r="M154" s="12"/>
      <c r="N154" s="12" t="s">
        <v>125</v>
      </c>
      <c r="O154" s="12"/>
    </row>
    <row r="155" ht="15.75" customHeight="1">
      <c r="A155" s="9" t="s">
        <v>30</v>
      </c>
      <c r="B155" s="9" t="s">
        <v>591</v>
      </c>
      <c r="C155" s="9" t="s">
        <v>85</v>
      </c>
      <c r="D155" s="9" t="s">
        <v>592</v>
      </c>
      <c r="E155" s="9" t="s">
        <v>97</v>
      </c>
      <c r="F155" s="9" t="s">
        <v>45</v>
      </c>
      <c r="G155" s="9" t="s">
        <v>593</v>
      </c>
      <c r="H155" s="9" t="s">
        <v>594</v>
      </c>
      <c r="I155" s="9" t="s">
        <v>55</v>
      </c>
      <c r="J155" s="9" t="s">
        <v>28</v>
      </c>
      <c r="K155" s="10">
        <v>46065.0</v>
      </c>
      <c r="L155" s="10"/>
      <c r="M155" s="9"/>
      <c r="N155" s="9" t="s">
        <v>29</v>
      </c>
      <c r="O155" s="9"/>
    </row>
    <row r="156" ht="15.75" customHeight="1">
      <c r="A156" s="12" t="s">
        <v>62</v>
      </c>
      <c r="B156" s="12" t="s">
        <v>595</v>
      </c>
      <c r="C156" s="12" t="s">
        <v>151</v>
      </c>
      <c r="D156" s="12" t="s">
        <v>319</v>
      </c>
      <c r="E156" s="12" t="s">
        <v>23</v>
      </c>
      <c r="F156" s="12" t="s">
        <v>35</v>
      </c>
      <c r="G156" s="12" t="s">
        <v>596</v>
      </c>
      <c r="H156" s="12" t="s">
        <v>321</v>
      </c>
      <c r="I156" s="12" t="s">
        <v>55</v>
      </c>
      <c r="J156" s="12" t="s">
        <v>48</v>
      </c>
      <c r="K156" s="13">
        <v>46039.0</v>
      </c>
      <c r="L156" s="13"/>
      <c r="M156" s="12"/>
      <c r="N156" s="12" t="s">
        <v>125</v>
      </c>
      <c r="O156" s="12"/>
    </row>
    <row r="157" ht="15.75" customHeight="1">
      <c r="A157" s="9" t="s">
        <v>115</v>
      </c>
      <c r="B157" s="9" t="s">
        <v>597</v>
      </c>
      <c r="C157" s="9" t="s">
        <v>417</v>
      </c>
      <c r="D157" s="9" t="s">
        <v>598</v>
      </c>
      <c r="E157" s="9" t="s">
        <v>34</v>
      </c>
      <c r="F157" s="9" t="s">
        <v>45</v>
      </c>
      <c r="G157" s="9" t="s">
        <v>599</v>
      </c>
      <c r="H157" s="9" t="s">
        <v>600</v>
      </c>
      <c r="I157" s="9" t="s">
        <v>55</v>
      </c>
      <c r="J157" s="9" t="s">
        <v>28</v>
      </c>
      <c r="K157" s="10">
        <v>46070.0</v>
      </c>
      <c r="L157" s="10"/>
      <c r="M157" s="9"/>
      <c r="N157" s="9"/>
      <c r="O157" s="9"/>
    </row>
    <row r="158" ht="15.75" customHeight="1">
      <c r="A158" s="12" t="s">
        <v>115</v>
      </c>
      <c r="B158" s="12" t="s">
        <v>601</v>
      </c>
      <c r="C158" s="12" t="s">
        <v>195</v>
      </c>
      <c r="D158" s="12" t="s">
        <v>22</v>
      </c>
      <c r="E158" s="12" t="s">
        <v>34</v>
      </c>
      <c r="F158" s="12" t="s">
        <v>24</v>
      </c>
      <c r="G158" s="12" t="s">
        <v>602</v>
      </c>
      <c r="H158" s="12" t="s">
        <v>26</v>
      </c>
      <c r="I158" s="12" t="s">
        <v>55</v>
      </c>
      <c r="J158" s="12" t="s">
        <v>28</v>
      </c>
      <c r="K158" s="13">
        <v>46075.0</v>
      </c>
      <c r="L158" s="13"/>
      <c r="M158" s="12"/>
      <c r="N158" s="12"/>
      <c r="O158" s="12"/>
    </row>
    <row r="159" ht="15.75" customHeight="1">
      <c r="A159" s="9" t="s">
        <v>115</v>
      </c>
      <c r="B159" s="9" t="s">
        <v>603</v>
      </c>
      <c r="C159" s="9" t="s">
        <v>263</v>
      </c>
      <c r="D159" s="9" t="s">
        <v>96</v>
      </c>
      <c r="E159" s="9" t="s">
        <v>118</v>
      </c>
      <c r="F159" s="9" t="s">
        <v>24</v>
      </c>
      <c r="G159" s="9" t="s">
        <v>604</v>
      </c>
      <c r="H159" s="9" t="s">
        <v>99</v>
      </c>
      <c r="I159" s="9" t="s">
        <v>27</v>
      </c>
      <c r="J159" s="9" t="s">
        <v>39</v>
      </c>
      <c r="K159" s="10">
        <v>46040.0</v>
      </c>
      <c r="L159" s="10">
        <v>46043.0</v>
      </c>
      <c r="M159" s="9">
        <v>3.0</v>
      </c>
      <c r="N159" s="9"/>
      <c r="O159" s="9"/>
    </row>
    <row r="160" ht="15.75" customHeight="1">
      <c r="A160" s="12" t="s">
        <v>62</v>
      </c>
      <c r="B160" s="12" t="s">
        <v>605</v>
      </c>
      <c r="C160" s="12" t="s">
        <v>178</v>
      </c>
      <c r="D160" s="12" t="s">
        <v>461</v>
      </c>
      <c r="E160" s="12" t="s">
        <v>52</v>
      </c>
      <c r="F160" s="12" t="s">
        <v>35</v>
      </c>
      <c r="G160" s="12" t="s">
        <v>606</v>
      </c>
      <c r="H160" s="12" t="s">
        <v>463</v>
      </c>
      <c r="I160" s="12" t="s">
        <v>38</v>
      </c>
      <c r="J160" s="12" t="s">
        <v>28</v>
      </c>
      <c r="K160" s="13">
        <v>46065.0</v>
      </c>
      <c r="L160" s="13"/>
      <c r="M160" s="12"/>
      <c r="N160" s="12" t="s">
        <v>29</v>
      </c>
      <c r="O160" s="12"/>
    </row>
    <row r="161" ht="15.75" customHeight="1">
      <c r="A161" s="9" t="s">
        <v>40</v>
      </c>
      <c r="B161" s="9" t="s">
        <v>607</v>
      </c>
      <c r="C161" s="9" t="s">
        <v>165</v>
      </c>
      <c r="D161" s="9" t="s">
        <v>185</v>
      </c>
      <c r="E161" s="9" t="s">
        <v>186</v>
      </c>
      <c r="F161" s="9" t="s">
        <v>45</v>
      </c>
      <c r="G161" s="9" t="s">
        <v>608</v>
      </c>
      <c r="H161" s="9" t="s">
        <v>188</v>
      </c>
      <c r="I161" s="9" t="s">
        <v>27</v>
      </c>
      <c r="J161" s="9" t="s">
        <v>28</v>
      </c>
      <c r="K161" s="10">
        <v>46044.0</v>
      </c>
      <c r="L161" s="10"/>
      <c r="M161" s="9"/>
      <c r="N161" s="9" t="s">
        <v>125</v>
      </c>
      <c r="O161" s="9"/>
    </row>
    <row r="162" ht="15.75" customHeight="1">
      <c r="A162" s="12" t="s">
        <v>30</v>
      </c>
      <c r="B162" s="12" t="s">
        <v>609</v>
      </c>
      <c r="C162" s="12" t="s">
        <v>251</v>
      </c>
      <c r="D162" s="12" t="s">
        <v>219</v>
      </c>
      <c r="E162" s="12" t="s">
        <v>44</v>
      </c>
      <c r="F162" s="12" t="s">
        <v>45</v>
      </c>
      <c r="G162" s="12" t="s">
        <v>610</v>
      </c>
      <c r="H162" s="12" t="s">
        <v>221</v>
      </c>
      <c r="I162" s="12" t="s">
        <v>38</v>
      </c>
      <c r="J162" s="12" t="s">
        <v>28</v>
      </c>
      <c r="K162" s="13">
        <v>46056.0</v>
      </c>
      <c r="L162" s="13"/>
      <c r="M162" s="12"/>
      <c r="N162" s="12" t="s">
        <v>29</v>
      </c>
      <c r="O162" s="12"/>
    </row>
    <row r="163" ht="15.75" customHeight="1">
      <c r="A163" s="9" t="s">
        <v>19</v>
      </c>
      <c r="B163" s="9" t="s">
        <v>611</v>
      </c>
      <c r="C163" s="9" t="s">
        <v>21</v>
      </c>
      <c r="D163" s="9" t="s">
        <v>156</v>
      </c>
      <c r="E163" s="9" t="s">
        <v>52</v>
      </c>
      <c r="F163" s="9" t="s">
        <v>45</v>
      </c>
      <c r="G163" s="9" t="s">
        <v>612</v>
      </c>
      <c r="H163" s="9" t="s">
        <v>158</v>
      </c>
      <c r="I163" s="9" t="s">
        <v>55</v>
      </c>
      <c r="J163" s="9" t="s">
        <v>48</v>
      </c>
      <c r="K163" s="10">
        <v>46081.0</v>
      </c>
      <c r="L163" s="10"/>
      <c r="M163" s="9"/>
      <c r="N163" s="9"/>
      <c r="O163" s="9"/>
    </row>
    <row r="164" ht="15.75" customHeight="1">
      <c r="A164" s="12" t="s">
        <v>19</v>
      </c>
      <c r="B164" s="12" t="s">
        <v>613</v>
      </c>
      <c r="C164" s="12" t="s">
        <v>79</v>
      </c>
      <c r="D164" s="12" t="s">
        <v>598</v>
      </c>
      <c r="E164" s="12" t="s">
        <v>97</v>
      </c>
      <c r="F164" s="12" t="s">
        <v>35</v>
      </c>
      <c r="G164" s="12" t="s">
        <v>614</v>
      </c>
      <c r="H164" s="12" t="s">
        <v>600</v>
      </c>
      <c r="I164" s="12" t="s">
        <v>27</v>
      </c>
      <c r="J164" s="12" t="s">
        <v>28</v>
      </c>
      <c r="K164" s="13">
        <v>46071.0</v>
      </c>
      <c r="L164" s="13"/>
      <c r="M164" s="12"/>
      <c r="N164" s="12"/>
      <c r="O164" s="12"/>
    </row>
    <row r="165" ht="15.75" customHeight="1">
      <c r="A165" s="9" t="s">
        <v>30</v>
      </c>
      <c r="B165" s="9" t="s">
        <v>615</v>
      </c>
      <c r="C165" s="9" t="s">
        <v>79</v>
      </c>
      <c r="D165" s="9" t="s">
        <v>395</v>
      </c>
      <c r="E165" s="9" t="s">
        <v>97</v>
      </c>
      <c r="F165" s="9" t="s">
        <v>45</v>
      </c>
      <c r="G165" s="9" t="s">
        <v>616</v>
      </c>
      <c r="H165" s="9" t="s">
        <v>397</v>
      </c>
      <c r="I165" s="9" t="s">
        <v>55</v>
      </c>
      <c r="J165" s="9" t="s">
        <v>39</v>
      </c>
      <c r="K165" s="10">
        <v>46057.0</v>
      </c>
      <c r="L165" s="10">
        <v>46059.0</v>
      </c>
      <c r="M165" s="9">
        <v>2.0</v>
      </c>
      <c r="N165" s="9"/>
      <c r="O165" s="9"/>
    </row>
    <row r="166" ht="15.75" customHeight="1">
      <c r="A166" s="12" t="s">
        <v>62</v>
      </c>
      <c r="B166" s="12" t="s">
        <v>617</v>
      </c>
      <c r="C166" s="12" t="s">
        <v>263</v>
      </c>
      <c r="D166" s="12" t="s">
        <v>136</v>
      </c>
      <c r="E166" s="12" t="s">
        <v>186</v>
      </c>
      <c r="F166" s="12" t="s">
        <v>24</v>
      </c>
      <c r="G166" s="12" t="s">
        <v>618</v>
      </c>
      <c r="H166" s="12" t="s">
        <v>138</v>
      </c>
      <c r="I166" s="12" t="s">
        <v>38</v>
      </c>
      <c r="J166" s="12" t="s">
        <v>48</v>
      </c>
      <c r="K166" s="13">
        <v>46063.0</v>
      </c>
      <c r="L166" s="13"/>
      <c r="M166" s="12"/>
      <c r="N166" s="12" t="s">
        <v>29</v>
      </c>
      <c r="O166" s="12"/>
    </row>
    <row r="167" ht="15.75" customHeight="1">
      <c r="A167" s="9" t="s">
        <v>19</v>
      </c>
      <c r="B167" s="9" t="s">
        <v>619</v>
      </c>
      <c r="C167" s="9" t="s">
        <v>127</v>
      </c>
      <c r="D167" s="9" t="s">
        <v>477</v>
      </c>
      <c r="E167" s="9" t="s">
        <v>71</v>
      </c>
      <c r="F167" s="9" t="s">
        <v>24</v>
      </c>
      <c r="G167" s="9" t="s">
        <v>620</v>
      </c>
      <c r="H167" s="9" t="s">
        <v>479</v>
      </c>
      <c r="I167" s="9" t="s">
        <v>27</v>
      </c>
      <c r="J167" s="9" t="s">
        <v>39</v>
      </c>
      <c r="K167" s="10">
        <v>46028.0</v>
      </c>
      <c r="L167" s="10">
        <v>46037.0</v>
      </c>
      <c r="M167" s="9">
        <v>9.0</v>
      </c>
      <c r="N167" s="9"/>
      <c r="O167" s="9"/>
    </row>
    <row r="168" ht="15.75" customHeight="1">
      <c r="A168" s="12" t="s">
        <v>115</v>
      </c>
      <c r="B168" s="12" t="s">
        <v>621</v>
      </c>
      <c r="C168" s="12" t="s">
        <v>333</v>
      </c>
      <c r="D168" s="12" t="s">
        <v>516</v>
      </c>
      <c r="E168" s="12" t="s">
        <v>71</v>
      </c>
      <c r="F168" s="12" t="s">
        <v>45</v>
      </c>
      <c r="G168" s="12" t="s">
        <v>622</v>
      </c>
      <c r="H168" s="12" t="s">
        <v>518</v>
      </c>
      <c r="I168" s="12" t="s">
        <v>55</v>
      </c>
      <c r="J168" s="12" t="s">
        <v>48</v>
      </c>
      <c r="K168" s="13">
        <v>46040.0</v>
      </c>
      <c r="L168" s="13"/>
      <c r="M168" s="12"/>
      <c r="N168" s="12" t="s">
        <v>125</v>
      </c>
      <c r="O168" s="12"/>
    </row>
    <row r="169" ht="15.75" customHeight="1">
      <c r="A169" s="9" t="s">
        <v>40</v>
      </c>
      <c r="B169" s="9" t="s">
        <v>623</v>
      </c>
      <c r="C169" s="9" t="s">
        <v>295</v>
      </c>
      <c r="D169" s="9" t="s">
        <v>508</v>
      </c>
      <c r="E169" s="9" t="s">
        <v>71</v>
      </c>
      <c r="F169" s="9" t="s">
        <v>45</v>
      </c>
      <c r="G169" s="9" t="s">
        <v>624</v>
      </c>
      <c r="H169" s="9" t="s">
        <v>510</v>
      </c>
      <c r="I169" s="9" t="s">
        <v>55</v>
      </c>
      <c r="J169" s="9" t="s">
        <v>48</v>
      </c>
      <c r="K169" s="10">
        <v>46027.0</v>
      </c>
      <c r="L169" s="10"/>
      <c r="M169" s="9"/>
      <c r="N169" s="9" t="s">
        <v>125</v>
      </c>
      <c r="O169" s="9"/>
    </row>
    <row r="170" ht="15.75" customHeight="1">
      <c r="A170" s="12" t="s">
        <v>62</v>
      </c>
      <c r="B170" s="12" t="s">
        <v>625</v>
      </c>
      <c r="C170" s="12" t="s">
        <v>175</v>
      </c>
      <c r="D170" s="12" t="s">
        <v>586</v>
      </c>
      <c r="E170" s="12" t="s">
        <v>52</v>
      </c>
      <c r="F170" s="12" t="s">
        <v>35</v>
      </c>
      <c r="G170" s="12" t="s">
        <v>626</v>
      </c>
      <c r="H170" s="12" t="s">
        <v>588</v>
      </c>
      <c r="I170" s="12" t="s">
        <v>27</v>
      </c>
      <c r="J170" s="12" t="s">
        <v>48</v>
      </c>
      <c r="K170" s="13">
        <v>46028.0</v>
      </c>
      <c r="L170" s="13"/>
      <c r="M170" s="12"/>
      <c r="N170" s="12" t="s">
        <v>125</v>
      </c>
      <c r="O170" s="12"/>
    </row>
    <row r="171" ht="15.75" customHeight="1">
      <c r="A171" s="9" t="s">
        <v>62</v>
      </c>
      <c r="B171" s="9" t="s">
        <v>627</v>
      </c>
      <c r="C171" s="9" t="s">
        <v>628</v>
      </c>
      <c r="D171" s="9" t="s">
        <v>319</v>
      </c>
      <c r="E171" s="9" t="s">
        <v>52</v>
      </c>
      <c r="F171" s="9" t="s">
        <v>35</v>
      </c>
      <c r="G171" s="9" t="s">
        <v>629</v>
      </c>
      <c r="H171" s="9" t="s">
        <v>321</v>
      </c>
      <c r="I171" s="9" t="s">
        <v>38</v>
      </c>
      <c r="J171" s="9" t="s">
        <v>39</v>
      </c>
      <c r="K171" s="10">
        <v>46039.0</v>
      </c>
      <c r="L171" s="10">
        <v>46049.0</v>
      </c>
      <c r="M171" s="9">
        <v>10.0</v>
      </c>
      <c r="N171" s="9"/>
      <c r="O171" s="9"/>
    </row>
    <row r="172" ht="15.75" customHeight="1">
      <c r="A172" s="12" t="s">
        <v>19</v>
      </c>
      <c r="B172" s="12" t="s">
        <v>630</v>
      </c>
      <c r="C172" s="12" t="s">
        <v>285</v>
      </c>
      <c r="D172" s="12" t="s">
        <v>107</v>
      </c>
      <c r="E172" s="12" t="s">
        <v>118</v>
      </c>
      <c r="F172" s="12" t="s">
        <v>35</v>
      </c>
      <c r="G172" s="12" t="s">
        <v>631</v>
      </c>
      <c r="H172" s="12" t="s">
        <v>109</v>
      </c>
      <c r="I172" s="12" t="s">
        <v>55</v>
      </c>
      <c r="J172" s="12" t="s">
        <v>48</v>
      </c>
      <c r="K172" s="13">
        <v>46029.0</v>
      </c>
      <c r="L172" s="13"/>
      <c r="M172" s="12"/>
      <c r="N172" s="12" t="s">
        <v>125</v>
      </c>
      <c r="O172" s="12"/>
    </row>
    <row r="173" ht="15.75" customHeight="1">
      <c r="A173" s="9" t="s">
        <v>62</v>
      </c>
      <c r="B173" s="9" t="s">
        <v>632</v>
      </c>
      <c r="C173" s="9" t="s">
        <v>127</v>
      </c>
      <c r="D173" s="9" t="s">
        <v>80</v>
      </c>
      <c r="E173" s="9" t="s">
        <v>59</v>
      </c>
      <c r="F173" s="9" t="s">
        <v>24</v>
      </c>
      <c r="G173" s="9" t="s">
        <v>633</v>
      </c>
      <c r="H173" s="9" t="s">
        <v>83</v>
      </c>
      <c r="I173" s="9" t="s">
        <v>38</v>
      </c>
      <c r="J173" s="9" t="s">
        <v>39</v>
      </c>
      <c r="K173" s="10">
        <v>46051.0</v>
      </c>
      <c r="L173" s="10">
        <v>46057.0</v>
      </c>
      <c r="M173" s="9">
        <v>6.0</v>
      </c>
      <c r="N173" s="9"/>
      <c r="O173" s="9"/>
    </row>
    <row r="174" ht="15.75" customHeight="1">
      <c r="A174" s="12" t="s">
        <v>115</v>
      </c>
      <c r="B174" s="12" t="s">
        <v>634</v>
      </c>
      <c r="C174" s="12" t="s">
        <v>328</v>
      </c>
      <c r="D174" s="12" t="s">
        <v>539</v>
      </c>
      <c r="E174" s="12" t="s">
        <v>71</v>
      </c>
      <c r="F174" s="12" t="s">
        <v>24</v>
      </c>
      <c r="G174" s="12" t="s">
        <v>635</v>
      </c>
      <c r="H174" s="12" t="s">
        <v>541</v>
      </c>
      <c r="I174" s="12" t="s">
        <v>38</v>
      </c>
      <c r="J174" s="12" t="s">
        <v>39</v>
      </c>
      <c r="K174" s="13">
        <v>46022.0</v>
      </c>
      <c r="L174" s="13">
        <v>46032.0</v>
      </c>
      <c r="M174" s="12">
        <v>10.0</v>
      </c>
      <c r="N174" s="12"/>
      <c r="O174" s="12"/>
    </row>
    <row r="175" ht="15.75" customHeight="1">
      <c r="A175" s="9" t="s">
        <v>62</v>
      </c>
      <c r="B175" s="9" t="s">
        <v>636</v>
      </c>
      <c r="C175" s="9" t="s">
        <v>363</v>
      </c>
      <c r="D175" s="9" t="s">
        <v>75</v>
      </c>
      <c r="E175" s="9" t="s">
        <v>59</v>
      </c>
      <c r="F175" s="9" t="s">
        <v>35</v>
      </c>
      <c r="G175" s="9" t="s">
        <v>637</v>
      </c>
      <c r="H175" s="9" t="s">
        <v>77</v>
      </c>
      <c r="I175" s="9" t="s">
        <v>38</v>
      </c>
      <c r="J175" s="9" t="s">
        <v>39</v>
      </c>
      <c r="K175" s="10">
        <v>46025.0</v>
      </c>
      <c r="L175" s="10">
        <v>46027.0</v>
      </c>
      <c r="M175" s="9">
        <v>2.0</v>
      </c>
      <c r="N175" s="9"/>
      <c r="O175" s="9"/>
    </row>
    <row r="176" ht="15.75" customHeight="1">
      <c r="A176" s="12" t="s">
        <v>40</v>
      </c>
      <c r="B176" s="12" t="s">
        <v>638</v>
      </c>
      <c r="C176" s="12" t="s">
        <v>554</v>
      </c>
      <c r="D176" s="12" t="s">
        <v>444</v>
      </c>
      <c r="E176" s="12" t="s">
        <v>34</v>
      </c>
      <c r="F176" s="12" t="s">
        <v>45</v>
      </c>
      <c r="G176" s="12" t="s">
        <v>639</v>
      </c>
      <c r="H176" s="12" t="s">
        <v>446</v>
      </c>
      <c r="I176" s="12" t="s">
        <v>27</v>
      </c>
      <c r="J176" s="12" t="s">
        <v>28</v>
      </c>
      <c r="K176" s="13">
        <v>46027.0</v>
      </c>
      <c r="L176" s="13"/>
      <c r="M176" s="12"/>
      <c r="N176" s="12" t="s">
        <v>125</v>
      </c>
      <c r="O176" s="12"/>
    </row>
    <row r="177" ht="15.75" customHeight="1">
      <c r="A177" s="9" t="s">
        <v>30</v>
      </c>
      <c r="B177" s="9" t="s">
        <v>640</v>
      </c>
      <c r="C177" s="9" t="s">
        <v>641</v>
      </c>
      <c r="D177" s="9" t="s">
        <v>477</v>
      </c>
      <c r="E177" s="9" t="s">
        <v>44</v>
      </c>
      <c r="F177" s="9" t="s">
        <v>35</v>
      </c>
      <c r="G177" s="9" t="s">
        <v>642</v>
      </c>
      <c r="H177" s="9" t="s">
        <v>479</v>
      </c>
      <c r="I177" s="9" t="s">
        <v>27</v>
      </c>
      <c r="J177" s="9" t="s">
        <v>28</v>
      </c>
      <c r="K177" s="10">
        <v>46064.0</v>
      </c>
      <c r="L177" s="10"/>
      <c r="M177" s="9"/>
      <c r="N177" s="9" t="s">
        <v>29</v>
      </c>
      <c r="O177" s="9"/>
    </row>
    <row r="178" ht="15.75" customHeight="1">
      <c r="A178" s="12" t="s">
        <v>115</v>
      </c>
      <c r="B178" s="12" t="s">
        <v>643</v>
      </c>
      <c r="C178" s="12" t="s">
        <v>333</v>
      </c>
      <c r="D178" s="12" t="s">
        <v>166</v>
      </c>
      <c r="E178" s="12" t="s">
        <v>186</v>
      </c>
      <c r="F178" s="12" t="s">
        <v>24</v>
      </c>
      <c r="G178" s="12" t="s">
        <v>644</v>
      </c>
      <c r="H178" s="12" t="s">
        <v>168</v>
      </c>
      <c r="I178" s="12" t="s">
        <v>55</v>
      </c>
      <c r="J178" s="12" t="s">
        <v>48</v>
      </c>
      <c r="K178" s="13">
        <v>46072.0</v>
      </c>
      <c r="L178" s="13"/>
      <c r="M178" s="12"/>
      <c r="N178" s="12"/>
      <c r="O178" s="12"/>
    </row>
    <row r="179" ht="15.75" customHeight="1">
      <c r="A179" s="9" t="s">
        <v>62</v>
      </c>
      <c r="B179" s="9" t="s">
        <v>645</v>
      </c>
      <c r="C179" s="9" t="s">
        <v>290</v>
      </c>
      <c r="D179" s="9" t="s">
        <v>357</v>
      </c>
      <c r="E179" s="9" t="s">
        <v>23</v>
      </c>
      <c r="F179" s="9" t="s">
        <v>35</v>
      </c>
      <c r="G179" s="9" t="s">
        <v>646</v>
      </c>
      <c r="H179" s="9" t="s">
        <v>359</v>
      </c>
      <c r="I179" s="9" t="s">
        <v>27</v>
      </c>
      <c r="J179" s="9" t="s">
        <v>28</v>
      </c>
      <c r="K179" s="10">
        <v>46030.0</v>
      </c>
      <c r="L179" s="10"/>
      <c r="M179" s="9"/>
      <c r="N179" s="9" t="s">
        <v>125</v>
      </c>
      <c r="O179" s="9"/>
    </row>
    <row r="180" ht="15.75" customHeight="1">
      <c r="A180" s="12" t="s">
        <v>30</v>
      </c>
      <c r="B180" s="12" t="s">
        <v>647</v>
      </c>
      <c r="C180" s="12" t="s">
        <v>648</v>
      </c>
      <c r="D180" s="12" t="s">
        <v>298</v>
      </c>
      <c r="E180" s="12" t="s">
        <v>52</v>
      </c>
      <c r="F180" s="12" t="s">
        <v>35</v>
      </c>
      <c r="G180" s="12" t="s">
        <v>649</v>
      </c>
      <c r="H180" s="12" t="s">
        <v>300</v>
      </c>
      <c r="I180" s="12" t="s">
        <v>27</v>
      </c>
      <c r="J180" s="12" t="s">
        <v>48</v>
      </c>
      <c r="K180" s="13">
        <v>46031.0</v>
      </c>
      <c r="L180" s="13"/>
      <c r="M180" s="12"/>
      <c r="N180" s="12" t="s">
        <v>125</v>
      </c>
      <c r="O180" s="12"/>
    </row>
    <row r="181" ht="15.75" customHeight="1">
      <c r="A181" s="9" t="s">
        <v>62</v>
      </c>
      <c r="B181" s="9" t="s">
        <v>650</v>
      </c>
      <c r="C181" s="9" t="s">
        <v>69</v>
      </c>
      <c r="D181" s="9" t="s">
        <v>65</v>
      </c>
      <c r="E181" s="9" t="s">
        <v>81</v>
      </c>
      <c r="F181" s="9" t="s">
        <v>24</v>
      </c>
      <c r="G181" s="9" t="s">
        <v>651</v>
      </c>
      <c r="H181" s="9" t="s">
        <v>67</v>
      </c>
      <c r="I181" s="9" t="s">
        <v>38</v>
      </c>
      <c r="J181" s="9" t="s">
        <v>48</v>
      </c>
      <c r="K181" s="10">
        <v>46078.0</v>
      </c>
      <c r="L181" s="10"/>
      <c r="M181" s="9"/>
      <c r="N181" s="9"/>
      <c r="O181" s="9"/>
    </row>
    <row r="182" ht="15.75" customHeight="1">
      <c r="A182" s="12" t="s">
        <v>115</v>
      </c>
      <c r="B182" s="12" t="s">
        <v>652</v>
      </c>
      <c r="C182" s="12" t="s">
        <v>195</v>
      </c>
      <c r="D182" s="12" t="s">
        <v>51</v>
      </c>
      <c r="E182" s="12" t="s">
        <v>34</v>
      </c>
      <c r="F182" s="12" t="s">
        <v>35</v>
      </c>
      <c r="G182" s="12" t="s">
        <v>653</v>
      </c>
      <c r="H182" s="12" t="s">
        <v>54</v>
      </c>
      <c r="I182" s="12" t="s">
        <v>55</v>
      </c>
      <c r="J182" s="12" t="s">
        <v>48</v>
      </c>
      <c r="K182" s="13">
        <v>46025.0</v>
      </c>
      <c r="L182" s="13"/>
      <c r="M182" s="12"/>
      <c r="N182" s="12" t="s">
        <v>125</v>
      </c>
      <c r="O182" s="12"/>
    </row>
    <row r="183" ht="15.75" customHeight="1">
      <c r="A183" s="9" t="s">
        <v>19</v>
      </c>
      <c r="B183" s="9" t="s">
        <v>654</v>
      </c>
      <c r="C183" s="9" t="s">
        <v>655</v>
      </c>
      <c r="D183" s="9" t="s">
        <v>592</v>
      </c>
      <c r="E183" s="9" t="s">
        <v>52</v>
      </c>
      <c r="F183" s="9" t="s">
        <v>35</v>
      </c>
      <c r="G183" s="9" t="s">
        <v>656</v>
      </c>
      <c r="H183" s="9" t="s">
        <v>594</v>
      </c>
      <c r="I183" s="9" t="s">
        <v>27</v>
      </c>
      <c r="J183" s="9" t="s">
        <v>39</v>
      </c>
      <c r="K183" s="10">
        <v>46040.0</v>
      </c>
      <c r="L183" s="10">
        <v>46043.0</v>
      </c>
      <c r="M183" s="9">
        <v>3.0</v>
      </c>
      <c r="N183" s="9"/>
      <c r="O183" s="9"/>
    </row>
    <row r="184" ht="15.75" customHeight="1">
      <c r="A184" s="12" t="s">
        <v>19</v>
      </c>
      <c r="B184" s="12" t="s">
        <v>657</v>
      </c>
      <c r="C184" s="12" t="s">
        <v>79</v>
      </c>
      <c r="D184" s="12" t="s">
        <v>208</v>
      </c>
      <c r="E184" s="12" t="s">
        <v>186</v>
      </c>
      <c r="F184" s="12" t="s">
        <v>35</v>
      </c>
      <c r="G184" s="12" t="s">
        <v>658</v>
      </c>
      <c r="H184" s="12" t="s">
        <v>210</v>
      </c>
      <c r="I184" s="12" t="s">
        <v>27</v>
      </c>
      <c r="J184" s="12" t="s">
        <v>39</v>
      </c>
      <c r="K184" s="13">
        <v>46040.0</v>
      </c>
      <c r="L184" s="13">
        <v>46050.0</v>
      </c>
      <c r="M184" s="12">
        <v>10.0</v>
      </c>
      <c r="N184" s="12"/>
      <c r="O184" s="12"/>
    </row>
    <row r="185" ht="15.75" customHeight="1">
      <c r="A185" s="9" t="s">
        <v>30</v>
      </c>
      <c r="B185" s="9" t="s">
        <v>659</v>
      </c>
      <c r="C185" s="9" t="s">
        <v>50</v>
      </c>
      <c r="D185" s="9" t="s">
        <v>404</v>
      </c>
      <c r="E185" s="9" t="s">
        <v>118</v>
      </c>
      <c r="F185" s="9" t="s">
        <v>35</v>
      </c>
      <c r="G185" s="9" t="s">
        <v>660</v>
      </c>
      <c r="H185" s="9" t="s">
        <v>406</v>
      </c>
      <c r="I185" s="9" t="s">
        <v>27</v>
      </c>
      <c r="J185" s="9" t="s">
        <v>28</v>
      </c>
      <c r="K185" s="10">
        <v>46044.0</v>
      </c>
      <c r="L185" s="10"/>
      <c r="M185" s="9"/>
      <c r="N185" s="9" t="s">
        <v>125</v>
      </c>
      <c r="O185" s="9"/>
    </row>
    <row r="186" ht="15.75" customHeight="1">
      <c r="A186" s="12" t="s">
        <v>62</v>
      </c>
      <c r="B186" s="12" t="s">
        <v>661</v>
      </c>
      <c r="C186" s="12" t="s">
        <v>178</v>
      </c>
      <c r="D186" s="12" t="s">
        <v>465</v>
      </c>
      <c r="E186" s="12" t="s">
        <v>59</v>
      </c>
      <c r="F186" s="12" t="s">
        <v>35</v>
      </c>
      <c r="G186" s="12" t="s">
        <v>662</v>
      </c>
      <c r="H186" s="12" t="s">
        <v>467</v>
      </c>
      <c r="I186" s="12" t="s">
        <v>27</v>
      </c>
      <c r="J186" s="12" t="s">
        <v>48</v>
      </c>
      <c r="K186" s="13">
        <v>46060.0</v>
      </c>
      <c r="L186" s="13"/>
      <c r="M186" s="12"/>
      <c r="N186" s="12" t="s">
        <v>29</v>
      </c>
      <c r="O186" s="12"/>
    </row>
    <row r="187" ht="15.75" customHeight="1">
      <c r="A187" s="9" t="s">
        <v>40</v>
      </c>
      <c r="B187" s="9" t="s">
        <v>663</v>
      </c>
      <c r="C187" s="9" t="s">
        <v>251</v>
      </c>
      <c r="D187" s="9" t="s">
        <v>277</v>
      </c>
      <c r="E187" s="9" t="s">
        <v>52</v>
      </c>
      <c r="F187" s="9" t="s">
        <v>24</v>
      </c>
      <c r="G187" s="9" t="s">
        <v>664</v>
      </c>
      <c r="H187" s="9" t="s">
        <v>279</v>
      </c>
      <c r="I187" s="9" t="s">
        <v>27</v>
      </c>
      <c r="J187" s="9" t="s">
        <v>28</v>
      </c>
      <c r="K187" s="10">
        <v>46070.0</v>
      </c>
      <c r="L187" s="10"/>
      <c r="M187" s="9"/>
      <c r="N187" s="9"/>
      <c r="O187" s="9"/>
    </row>
    <row r="188" ht="15.75" customHeight="1">
      <c r="A188" s="12" t="s">
        <v>30</v>
      </c>
      <c r="B188" s="12" t="s">
        <v>665</v>
      </c>
      <c r="C188" s="12" t="s">
        <v>338</v>
      </c>
      <c r="D188" s="12" t="s">
        <v>592</v>
      </c>
      <c r="E188" s="12" t="s">
        <v>71</v>
      </c>
      <c r="F188" s="12" t="s">
        <v>24</v>
      </c>
      <c r="G188" s="12" t="s">
        <v>666</v>
      </c>
      <c r="H188" s="12" t="s">
        <v>594</v>
      </c>
      <c r="I188" s="12" t="s">
        <v>27</v>
      </c>
      <c r="J188" s="12" t="s">
        <v>39</v>
      </c>
      <c r="K188" s="13">
        <v>46032.0</v>
      </c>
      <c r="L188" s="13">
        <v>46041.0</v>
      </c>
      <c r="M188" s="12">
        <v>9.0</v>
      </c>
      <c r="N188" s="12"/>
      <c r="O188" s="12"/>
    </row>
    <row r="189" ht="15.75" customHeight="1">
      <c r="A189" s="9" t="s">
        <v>62</v>
      </c>
      <c r="B189" s="9" t="s">
        <v>667</v>
      </c>
      <c r="C189" s="9" t="s">
        <v>143</v>
      </c>
      <c r="D189" s="9" t="s">
        <v>346</v>
      </c>
      <c r="E189" s="9" t="s">
        <v>97</v>
      </c>
      <c r="F189" s="9" t="s">
        <v>45</v>
      </c>
      <c r="G189" s="9" t="s">
        <v>668</v>
      </c>
      <c r="H189" s="9" t="s">
        <v>348</v>
      </c>
      <c r="I189" s="9" t="s">
        <v>55</v>
      </c>
      <c r="J189" s="9" t="s">
        <v>28</v>
      </c>
      <c r="K189" s="10">
        <v>46024.0</v>
      </c>
      <c r="L189" s="10"/>
      <c r="M189" s="9"/>
      <c r="N189" s="9" t="s">
        <v>125</v>
      </c>
      <c r="O189" s="9"/>
    </row>
    <row r="190" ht="15.75" customHeight="1">
      <c r="A190" s="12" t="s">
        <v>115</v>
      </c>
      <c r="B190" s="12" t="s">
        <v>669</v>
      </c>
      <c r="C190" s="12" t="s">
        <v>170</v>
      </c>
      <c r="D190" s="12" t="s">
        <v>298</v>
      </c>
      <c r="E190" s="12" t="s">
        <v>34</v>
      </c>
      <c r="F190" s="12" t="s">
        <v>24</v>
      </c>
      <c r="G190" s="12" t="s">
        <v>670</v>
      </c>
      <c r="H190" s="12" t="s">
        <v>300</v>
      </c>
      <c r="I190" s="12" t="s">
        <v>38</v>
      </c>
      <c r="J190" s="12" t="s">
        <v>48</v>
      </c>
      <c r="K190" s="13">
        <v>46054.0</v>
      </c>
      <c r="L190" s="13"/>
      <c r="M190" s="12"/>
      <c r="N190" s="12" t="s">
        <v>29</v>
      </c>
      <c r="O190" s="12"/>
    </row>
    <row r="191" ht="15.75" customHeight="1">
      <c r="A191" s="9" t="s">
        <v>19</v>
      </c>
      <c r="B191" s="9" t="s">
        <v>671</v>
      </c>
      <c r="C191" s="9" t="s">
        <v>203</v>
      </c>
      <c r="D191" s="9" t="s">
        <v>329</v>
      </c>
      <c r="E191" s="9" t="s">
        <v>59</v>
      </c>
      <c r="F191" s="9" t="s">
        <v>24</v>
      </c>
      <c r="G191" s="9" t="s">
        <v>672</v>
      </c>
      <c r="H191" s="9" t="s">
        <v>331</v>
      </c>
      <c r="I191" s="9" t="s">
        <v>38</v>
      </c>
      <c r="J191" s="9" t="s">
        <v>48</v>
      </c>
      <c r="K191" s="10">
        <v>46034.0</v>
      </c>
      <c r="L191" s="10"/>
      <c r="M191" s="9"/>
      <c r="N191" s="9" t="s">
        <v>125</v>
      </c>
      <c r="O191" s="9"/>
    </row>
    <row r="192" ht="15.75" customHeight="1">
      <c r="A192" s="12" t="s">
        <v>62</v>
      </c>
      <c r="B192" s="12" t="s">
        <v>673</v>
      </c>
      <c r="C192" s="12" t="s">
        <v>234</v>
      </c>
      <c r="D192" s="12" t="s">
        <v>65</v>
      </c>
      <c r="E192" s="12" t="s">
        <v>97</v>
      </c>
      <c r="F192" s="12" t="s">
        <v>45</v>
      </c>
      <c r="G192" s="12" t="s">
        <v>674</v>
      </c>
      <c r="H192" s="12" t="s">
        <v>67</v>
      </c>
      <c r="I192" s="12" t="s">
        <v>38</v>
      </c>
      <c r="J192" s="12" t="s">
        <v>28</v>
      </c>
      <c r="K192" s="13">
        <v>46046.0</v>
      </c>
      <c r="L192" s="13"/>
      <c r="M192" s="12"/>
      <c r="N192" s="12" t="s">
        <v>125</v>
      </c>
      <c r="O192" s="12"/>
    </row>
    <row r="193" ht="15.75" customHeight="1">
      <c r="A193" s="9" t="s">
        <v>40</v>
      </c>
      <c r="B193" s="9" t="s">
        <v>675</v>
      </c>
      <c r="C193" s="9" t="s">
        <v>333</v>
      </c>
      <c r="D193" s="9" t="s">
        <v>156</v>
      </c>
      <c r="E193" s="9" t="s">
        <v>52</v>
      </c>
      <c r="F193" s="9" t="s">
        <v>45</v>
      </c>
      <c r="G193" s="9" t="s">
        <v>676</v>
      </c>
      <c r="H193" s="9" t="s">
        <v>158</v>
      </c>
      <c r="I193" s="9" t="s">
        <v>38</v>
      </c>
      <c r="J193" s="9" t="s">
        <v>28</v>
      </c>
      <c r="K193" s="10">
        <v>46053.0</v>
      </c>
      <c r="L193" s="10"/>
      <c r="M193" s="9"/>
      <c r="N193" s="9" t="s">
        <v>29</v>
      </c>
      <c r="O193" s="9"/>
    </row>
    <row r="194" ht="15.75" customHeight="1">
      <c r="A194" s="12" t="s">
        <v>115</v>
      </c>
      <c r="B194" s="12" t="s">
        <v>677</v>
      </c>
      <c r="C194" s="12" t="s">
        <v>190</v>
      </c>
      <c r="D194" s="12" t="s">
        <v>277</v>
      </c>
      <c r="E194" s="12" t="s">
        <v>34</v>
      </c>
      <c r="F194" s="12" t="s">
        <v>35</v>
      </c>
      <c r="G194" s="12" t="s">
        <v>678</v>
      </c>
      <c r="H194" s="12" t="s">
        <v>279</v>
      </c>
      <c r="I194" s="12" t="s">
        <v>38</v>
      </c>
      <c r="J194" s="12" t="s">
        <v>48</v>
      </c>
      <c r="K194" s="13">
        <v>46061.0</v>
      </c>
      <c r="L194" s="13"/>
      <c r="M194" s="12"/>
      <c r="N194" s="12" t="s">
        <v>29</v>
      </c>
      <c r="O194" s="12"/>
    </row>
    <row r="195" ht="15.75" customHeight="1">
      <c r="A195" s="9" t="s">
        <v>30</v>
      </c>
      <c r="B195" s="9" t="s">
        <v>679</v>
      </c>
      <c r="C195" s="9" t="s">
        <v>648</v>
      </c>
      <c r="D195" s="9" t="s">
        <v>156</v>
      </c>
      <c r="E195" s="9" t="s">
        <v>97</v>
      </c>
      <c r="F195" s="9" t="s">
        <v>35</v>
      </c>
      <c r="G195" s="9" t="s">
        <v>680</v>
      </c>
      <c r="H195" s="9" t="s">
        <v>158</v>
      </c>
      <c r="I195" s="9" t="s">
        <v>27</v>
      </c>
      <c r="J195" s="9" t="s">
        <v>28</v>
      </c>
      <c r="K195" s="10">
        <v>46069.0</v>
      </c>
      <c r="L195" s="10"/>
      <c r="M195" s="9"/>
      <c r="N195" s="9"/>
      <c r="O195" s="9"/>
    </row>
    <row r="196" ht="15.75" customHeight="1">
      <c r="A196" s="12" t="s">
        <v>40</v>
      </c>
      <c r="B196" s="12" t="s">
        <v>681</v>
      </c>
      <c r="C196" s="12" t="s">
        <v>333</v>
      </c>
      <c r="D196" s="12" t="s">
        <v>334</v>
      </c>
      <c r="E196" s="12" t="s">
        <v>186</v>
      </c>
      <c r="F196" s="12" t="s">
        <v>35</v>
      </c>
      <c r="G196" s="12" t="s">
        <v>682</v>
      </c>
      <c r="H196" s="12" t="s">
        <v>336</v>
      </c>
      <c r="I196" s="12" t="s">
        <v>38</v>
      </c>
      <c r="J196" s="12" t="s">
        <v>28</v>
      </c>
      <c r="K196" s="13">
        <v>46023.0</v>
      </c>
      <c r="L196" s="13"/>
      <c r="M196" s="12"/>
      <c r="N196" s="12" t="s">
        <v>125</v>
      </c>
      <c r="O196" s="12"/>
    </row>
    <row r="197" ht="15.75" customHeight="1">
      <c r="A197" s="9" t="s">
        <v>115</v>
      </c>
      <c r="B197" s="9" t="s">
        <v>683</v>
      </c>
      <c r="C197" s="9" t="s">
        <v>64</v>
      </c>
      <c r="D197" s="9" t="s">
        <v>684</v>
      </c>
      <c r="E197" s="9" t="s">
        <v>71</v>
      </c>
      <c r="F197" s="9" t="s">
        <v>35</v>
      </c>
      <c r="G197" s="9" t="s">
        <v>685</v>
      </c>
      <c r="H197" s="9" t="s">
        <v>686</v>
      </c>
      <c r="I197" s="9" t="s">
        <v>38</v>
      </c>
      <c r="J197" s="9" t="s">
        <v>39</v>
      </c>
      <c r="K197" s="10">
        <v>46071.0</v>
      </c>
      <c r="L197" s="10">
        <v>46080.0</v>
      </c>
      <c r="M197" s="9">
        <v>9.0</v>
      </c>
      <c r="N197" s="9"/>
      <c r="O197" s="9"/>
    </row>
    <row r="198" ht="15.75" customHeight="1">
      <c r="A198" s="12" t="s">
        <v>30</v>
      </c>
      <c r="B198" s="12" t="s">
        <v>687</v>
      </c>
      <c r="C198" s="12" t="s">
        <v>234</v>
      </c>
      <c r="D198" s="12" t="s">
        <v>582</v>
      </c>
      <c r="E198" s="12" t="s">
        <v>34</v>
      </c>
      <c r="F198" s="12" t="s">
        <v>24</v>
      </c>
      <c r="G198" s="12" t="s">
        <v>688</v>
      </c>
      <c r="H198" s="12" t="s">
        <v>584</v>
      </c>
      <c r="I198" s="12" t="s">
        <v>38</v>
      </c>
      <c r="J198" s="12" t="s">
        <v>28</v>
      </c>
      <c r="K198" s="13">
        <v>46058.0</v>
      </c>
      <c r="L198" s="13"/>
      <c r="M198" s="12"/>
      <c r="N198" s="12" t="s">
        <v>29</v>
      </c>
      <c r="O198" s="12"/>
    </row>
    <row r="199" ht="15.75" customHeight="1">
      <c r="A199" s="9" t="s">
        <v>40</v>
      </c>
      <c r="B199" s="9" t="s">
        <v>689</v>
      </c>
      <c r="C199" s="9" t="s">
        <v>239</v>
      </c>
      <c r="D199" s="9" t="s">
        <v>334</v>
      </c>
      <c r="E199" s="9" t="s">
        <v>23</v>
      </c>
      <c r="F199" s="9" t="s">
        <v>45</v>
      </c>
      <c r="G199" s="9" t="s">
        <v>690</v>
      </c>
      <c r="H199" s="9" t="s">
        <v>336</v>
      </c>
      <c r="I199" s="9" t="s">
        <v>27</v>
      </c>
      <c r="J199" s="9" t="s">
        <v>28</v>
      </c>
      <c r="K199" s="10">
        <v>46062.0</v>
      </c>
      <c r="L199" s="10"/>
      <c r="M199" s="9"/>
      <c r="N199" s="9" t="s">
        <v>29</v>
      </c>
      <c r="O199" s="9"/>
    </row>
    <row r="200" ht="15.75" customHeight="1">
      <c r="A200" s="12" t="s">
        <v>62</v>
      </c>
      <c r="B200" s="12" t="s">
        <v>691</v>
      </c>
      <c r="C200" s="12" t="s">
        <v>50</v>
      </c>
      <c r="D200" s="12" t="s">
        <v>302</v>
      </c>
      <c r="E200" s="12" t="s">
        <v>34</v>
      </c>
      <c r="F200" s="12" t="s">
        <v>45</v>
      </c>
      <c r="G200" s="12" t="s">
        <v>692</v>
      </c>
      <c r="H200" s="12" t="s">
        <v>304</v>
      </c>
      <c r="I200" s="12" t="s">
        <v>55</v>
      </c>
      <c r="J200" s="12" t="s">
        <v>39</v>
      </c>
      <c r="K200" s="13">
        <v>46073.0</v>
      </c>
      <c r="L200" s="13">
        <v>46078.0</v>
      </c>
      <c r="M200" s="12">
        <v>5.0</v>
      </c>
      <c r="N200" s="12"/>
      <c r="O200" s="12"/>
    </row>
    <row r="201" ht="15.75" customHeight="1">
      <c r="A201" s="9" t="s">
        <v>19</v>
      </c>
      <c r="B201" s="9" t="s">
        <v>693</v>
      </c>
      <c r="C201" s="9" t="s">
        <v>195</v>
      </c>
      <c r="D201" s="9" t="s">
        <v>259</v>
      </c>
      <c r="E201" s="9" t="s">
        <v>81</v>
      </c>
      <c r="F201" s="9" t="s">
        <v>24</v>
      </c>
      <c r="G201" s="9" t="s">
        <v>694</v>
      </c>
      <c r="H201" s="9" t="s">
        <v>261</v>
      </c>
      <c r="I201" s="9" t="s">
        <v>55</v>
      </c>
      <c r="J201" s="9" t="s">
        <v>48</v>
      </c>
      <c r="K201" s="10">
        <v>46061.0</v>
      </c>
      <c r="L201" s="10"/>
      <c r="M201" s="9"/>
      <c r="N201" s="9" t="s">
        <v>29</v>
      </c>
      <c r="O201" s="9"/>
    </row>
    <row r="202" ht="15.75" customHeight="1">
      <c r="A202" s="12" t="s">
        <v>40</v>
      </c>
      <c r="B202" s="12" t="s">
        <v>695</v>
      </c>
      <c r="C202" s="12" t="s">
        <v>263</v>
      </c>
      <c r="D202" s="12" t="s">
        <v>91</v>
      </c>
      <c r="E202" s="12" t="s">
        <v>44</v>
      </c>
      <c r="F202" s="12" t="s">
        <v>45</v>
      </c>
      <c r="G202" s="12" t="s">
        <v>696</v>
      </c>
      <c r="H202" s="12" t="s">
        <v>93</v>
      </c>
      <c r="I202" s="12" t="s">
        <v>27</v>
      </c>
      <c r="J202" s="12" t="s">
        <v>39</v>
      </c>
      <c r="K202" s="13">
        <v>46049.0</v>
      </c>
      <c r="L202" s="13">
        <v>46057.0</v>
      </c>
      <c r="M202" s="12">
        <v>8.0</v>
      </c>
      <c r="N202" s="12"/>
      <c r="O202" s="12"/>
    </row>
    <row r="203" ht="15.75" customHeight="1">
      <c r="A203" s="9" t="s">
        <v>115</v>
      </c>
      <c r="B203" s="9" t="s">
        <v>697</v>
      </c>
      <c r="C203" s="9" t="s">
        <v>417</v>
      </c>
      <c r="D203" s="9" t="s">
        <v>86</v>
      </c>
      <c r="E203" s="9" t="s">
        <v>81</v>
      </c>
      <c r="F203" s="9" t="s">
        <v>35</v>
      </c>
      <c r="G203" s="9" t="s">
        <v>698</v>
      </c>
      <c r="H203" s="9" t="s">
        <v>88</v>
      </c>
      <c r="I203" s="9" t="s">
        <v>27</v>
      </c>
      <c r="J203" s="9" t="s">
        <v>28</v>
      </c>
      <c r="K203" s="10">
        <v>46067.0</v>
      </c>
      <c r="L203" s="10"/>
      <c r="M203" s="9"/>
      <c r="N203" s="9"/>
      <c r="O203" s="9"/>
    </row>
    <row r="204" ht="15.75" customHeight="1">
      <c r="A204" s="12" t="s">
        <v>30</v>
      </c>
      <c r="B204" s="12" t="s">
        <v>699</v>
      </c>
      <c r="C204" s="12" t="s">
        <v>106</v>
      </c>
      <c r="D204" s="12" t="s">
        <v>319</v>
      </c>
      <c r="E204" s="12" t="s">
        <v>23</v>
      </c>
      <c r="F204" s="12" t="s">
        <v>24</v>
      </c>
      <c r="G204" s="12" t="s">
        <v>700</v>
      </c>
      <c r="H204" s="12" t="s">
        <v>321</v>
      </c>
      <c r="I204" s="12" t="s">
        <v>55</v>
      </c>
      <c r="J204" s="12" t="s">
        <v>39</v>
      </c>
      <c r="K204" s="13">
        <v>46068.0</v>
      </c>
      <c r="L204" s="13">
        <v>46076.0</v>
      </c>
      <c r="M204" s="12">
        <v>8.0</v>
      </c>
      <c r="N204" s="12"/>
      <c r="O204" s="12"/>
    </row>
    <row r="205" ht="15.75" customHeight="1">
      <c r="A205" s="9" t="s">
        <v>40</v>
      </c>
      <c r="B205" s="9" t="s">
        <v>701</v>
      </c>
      <c r="C205" s="9" t="s">
        <v>57</v>
      </c>
      <c r="D205" s="9" t="s">
        <v>51</v>
      </c>
      <c r="E205" s="9" t="s">
        <v>186</v>
      </c>
      <c r="F205" s="9" t="s">
        <v>35</v>
      </c>
      <c r="G205" s="9" t="s">
        <v>702</v>
      </c>
      <c r="H205" s="9" t="s">
        <v>54</v>
      </c>
      <c r="I205" s="9" t="s">
        <v>55</v>
      </c>
      <c r="J205" s="9" t="s">
        <v>39</v>
      </c>
      <c r="K205" s="10">
        <v>46079.0</v>
      </c>
      <c r="L205" s="10">
        <v>46082.0</v>
      </c>
      <c r="M205" s="9">
        <v>3.0</v>
      </c>
      <c r="N205" s="9"/>
      <c r="O205" s="9"/>
    </row>
    <row r="206" ht="15.75" customHeight="1">
      <c r="A206" s="12" t="s">
        <v>115</v>
      </c>
      <c r="B206" s="12" t="s">
        <v>703</v>
      </c>
      <c r="C206" s="12" t="s">
        <v>143</v>
      </c>
      <c r="D206" s="12" t="s">
        <v>302</v>
      </c>
      <c r="E206" s="12" t="s">
        <v>118</v>
      </c>
      <c r="F206" s="12" t="s">
        <v>35</v>
      </c>
      <c r="G206" s="12" t="s">
        <v>704</v>
      </c>
      <c r="H206" s="12" t="s">
        <v>304</v>
      </c>
      <c r="I206" s="12" t="s">
        <v>55</v>
      </c>
      <c r="J206" s="12" t="s">
        <v>39</v>
      </c>
      <c r="K206" s="13">
        <v>46071.0</v>
      </c>
      <c r="L206" s="13">
        <v>46078.0</v>
      </c>
      <c r="M206" s="12">
        <v>7.0</v>
      </c>
      <c r="N206" s="12"/>
      <c r="O206" s="12"/>
    </row>
    <row r="207" ht="15.75" customHeight="1">
      <c r="A207" s="9" t="s">
        <v>62</v>
      </c>
      <c r="B207" s="9" t="s">
        <v>705</v>
      </c>
      <c r="C207" s="9" t="s">
        <v>165</v>
      </c>
      <c r="D207" s="9" t="s">
        <v>147</v>
      </c>
      <c r="E207" s="9" t="s">
        <v>71</v>
      </c>
      <c r="F207" s="9" t="s">
        <v>24</v>
      </c>
      <c r="G207" s="9" t="s">
        <v>706</v>
      </c>
      <c r="H207" s="9" t="s">
        <v>149</v>
      </c>
      <c r="I207" s="9" t="s">
        <v>55</v>
      </c>
      <c r="J207" s="9" t="s">
        <v>39</v>
      </c>
      <c r="K207" s="10">
        <v>46067.0</v>
      </c>
      <c r="L207" s="10">
        <v>46070.0</v>
      </c>
      <c r="M207" s="9">
        <v>3.0</v>
      </c>
      <c r="N207" s="9"/>
      <c r="O207" s="9"/>
    </row>
    <row r="208" ht="15.75" customHeight="1">
      <c r="A208" s="12" t="s">
        <v>62</v>
      </c>
      <c r="B208" s="12" t="s">
        <v>707</v>
      </c>
      <c r="C208" s="12" t="s">
        <v>708</v>
      </c>
      <c r="D208" s="12" t="s">
        <v>555</v>
      </c>
      <c r="E208" s="12" t="s">
        <v>118</v>
      </c>
      <c r="F208" s="12" t="s">
        <v>35</v>
      </c>
      <c r="G208" s="12" t="s">
        <v>709</v>
      </c>
      <c r="H208" s="12" t="s">
        <v>557</v>
      </c>
      <c r="I208" s="12" t="s">
        <v>55</v>
      </c>
      <c r="J208" s="12" t="s">
        <v>39</v>
      </c>
      <c r="K208" s="13">
        <v>46034.0</v>
      </c>
      <c r="L208" s="13">
        <v>46043.0</v>
      </c>
      <c r="M208" s="12">
        <v>9.0</v>
      </c>
      <c r="N208" s="12"/>
      <c r="O208" s="12"/>
    </row>
    <row r="209" ht="15.75" customHeight="1">
      <c r="A209" s="9" t="s">
        <v>115</v>
      </c>
      <c r="B209" s="9" t="s">
        <v>710</v>
      </c>
      <c r="C209" s="9" t="s">
        <v>218</v>
      </c>
      <c r="D209" s="9" t="s">
        <v>404</v>
      </c>
      <c r="E209" s="9" t="s">
        <v>44</v>
      </c>
      <c r="F209" s="9" t="s">
        <v>45</v>
      </c>
      <c r="G209" s="9" t="s">
        <v>711</v>
      </c>
      <c r="H209" s="9" t="s">
        <v>406</v>
      </c>
      <c r="I209" s="9" t="s">
        <v>38</v>
      </c>
      <c r="J209" s="9" t="s">
        <v>39</v>
      </c>
      <c r="K209" s="10">
        <v>46074.0</v>
      </c>
      <c r="L209" s="10">
        <v>46082.0</v>
      </c>
      <c r="M209" s="9">
        <v>8.0</v>
      </c>
      <c r="N209" s="9"/>
      <c r="O209" s="9"/>
    </row>
    <row r="210" ht="15.75" customHeight="1">
      <c r="A210" s="12" t="s">
        <v>115</v>
      </c>
      <c r="B210" s="12" t="s">
        <v>712</v>
      </c>
      <c r="C210" s="12" t="s">
        <v>121</v>
      </c>
      <c r="D210" s="12" t="s">
        <v>252</v>
      </c>
      <c r="E210" s="12" t="s">
        <v>118</v>
      </c>
      <c r="F210" s="12" t="s">
        <v>45</v>
      </c>
      <c r="G210" s="12" t="s">
        <v>713</v>
      </c>
      <c r="H210" s="12" t="s">
        <v>254</v>
      </c>
      <c r="I210" s="12" t="s">
        <v>27</v>
      </c>
      <c r="J210" s="12" t="s">
        <v>48</v>
      </c>
      <c r="K210" s="13">
        <v>46050.0</v>
      </c>
      <c r="L210" s="13"/>
      <c r="M210" s="12"/>
      <c r="N210" s="12" t="s">
        <v>125</v>
      </c>
      <c r="O210" s="12"/>
    </row>
    <row r="211" ht="15.75" customHeight="1">
      <c r="A211" s="9" t="s">
        <v>40</v>
      </c>
      <c r="B211" s="9" t="s">
        <v>714</v>
      </c>
      <c r="C211" s="9" t="s">
        <v>386</v>
      </c>
      <c r="D211" s="9" t="s">
        <v>264</v>
      </c>
      <c r="E211" s="9" t="s">
        <v>44</v>
      </c>
      <c r="F211" s="9" t="s">
        <v>35</v>
      </c>
      <c r="G211" s="9" t="s">
        <v>715</v>
      </c>
      <c r="H211" s="9" t="s">
        <v>266</v>
      </c>
      <c r="I211" s="9" t="s">
        <v>55</v>
      </c>
      <c r="J211" s="9" t="s">
        <v>28</v>
      </c>
      <c r="K211" s="10">
        <v>46080.0</v>
      </c>
      <c r="L211" s="10"/>
      <c r="M211" s="9"/>
      <c r="N211" s="9"/>
      <c r="O211" s="9"/>
    </row>
    <row r="212" ht="15.75" customHeight="1">
      <c r="A212" s="12" t="s">
        <v>30</v>
      </c>
      <c r="B212" s="12" t="s">
        <v>716</v>
      </c>
      <c r="C212" s="12" t="s">
        <v>333</v>
      </c>
      <c r="D212" s="12" t="s">
        <v>346</v>
      </c>
      <c r="E212" s="12" t="s">
        <v>59</v>
      </c>
      <c r="F212" s="12" t="s">
        <v>35</v>
      </c>
      <c r="G212" s="12" t="s">
        <v>717</v>
      </c>
      <c r="H212" s="12" t="s">
        <v>348</v>
      </c>
      <c r="I212" s="12" t="s">
        <v>38</v>
      </c>
      <c r="J212" s="12" t="s">
        <v>28</v>
      </c>
      <c r="K212" s="13">
        <v>46041.0</v>
      </c>
      <c r="L212" s="13"/>
      <c r="M212" s="12"/>
      <c r="N212" s="12" t="s">
        <v>125</v>
      </c>
      <c r="O212" s="12"/>
    </row>
    <row r="213" ht="15.75" customHeight="1">
      <c r="A213" s="9" t="s">
        <v>30</v>
      </c>
      <c r="B213" s="9" t="s">
        <v>718</v>
      </c>
      <c r="C213" s="9" t="s">
        <v>263</v>
      </c>
      <c r="D213" s="9" t="s">
        <v>191</v>
      </c>
      <c r="E213" s="9" t="s">
        <v>52</v>
      </c>
      <c r="F213" s="9" t="s">
        <v>45</v>
      </c>
      <c r="G213" s="9" t="s">
        <v>719</v>
      </c>
      <c r="H213" s="9" t="s">
        <v>193</v>
      </c>
      <c r="I213" s="9" t="s">
        <v>55</v>
      </c>
      <c r="J213" s="9" t="s">
        <v>39</v>
      </c>
      <c r="K213" s="10">
        <v>46079.0</v>
      </c>
      <c r="L213" s="10">
        <v>46082.0</v>
      </c>
      <c r="M213" s="9">
        <v>3.0</v>
      </c>
      <c r="N213" s="9"/>
      <c r="O213" s="9"/>
    </row>
    <row r="214" ht="15.75" customHeight="1">
      <c r="A214" s="12" t="s">
        <v>115</v>
      </c>
      <c r="B214" s="12" t="s">
        <v>720</v>
      </c>
      <c r="C214" s="12" t="s">
        <v>170</v>
      </c>
      <c r="D214" s="12" t="s">
        <v>555</v>
      </c>
      <c r="E214" s="12" t="s">
        <v>186</v>
      </c>
      <c r="F214" s="12" t="s">
        <v>24</v>
      </c>
      <c r="G214" s="12" t="s">
        <v>721</v>
      </c>
      <c r="H214" s="12" t="s">
        <v>557</v>
      </c>
      <c r="I214" s="12" t="s">
        <v>27</v>
      </c>
      <c r="J214" s="12" t="s">
        <v>28</v>
      </c>
      <c r="K214" s="13">
        <v>46024.0</v>
      </c>
      <c r="L214" s="13"/>
      <c r="M214" s="12"/>
      <c r="N214" s="12" t="s">
        <v>125</v>
      </c>
      <c r="O214" s="12"/>
    </row>
    <row r="215" ht="15.75" customHeight="1">
      <c r="A215" s="9" t="s">
        <v>62</v>
      </c>
      <c r="B215" s="9" t="s">
        <v>722</v>
      </c>
      <c r="C215" s="9" t="s">
        <v>200</v>
      </c>
      <c r="D215" s="9" t="s">
        <v>22</v>
      </c>
      <c r="E215" s="9" t="s">
        <v>186</v>
      </c>
      <c r="F215" s="9" t="s">
        <v>45</v>
      </c>
      <c r="G215" s="9" t="s">
        <v>723</v>
      </c>
      <c r="H215" s="9" t="s">
        <v>26</v>
      </c>
      <c r="I215" s="9" t="s">
        <v>38</v>
      </c>
      <c r="J215" s="9" t="s">
        <v>48</v>
      </c>
      <c r="K215" s="10">
        <v>46064.0</v>
      </c>
      <c r="L215" s="10"/>
      <c r="M215" s="9"/>
      <c r="N215" s="9" t="s">
        <v>29</v>
      </c>
      <c r="O215" s="9"/>
    </row>
    <row r="216" ht="15.75" customHeight="1">
      <c r="A216" s="12" t="s">
        <v>115</v>
      </c>
      <c r="B216" s="12" t="s">
        <v>724</v>
      </c>
      <c r="C216" s="12" t="s">
        <v>489</v>
      </c>
      <c r="D216" s="12" t="s">
        <v>112</v>
      </c>
      <c r="E216" s="12" t="s">
        <v>97</v>
      </c>
      <c r="F216" s="12" t="s">
        <v>35</v>
      </c>
      <c r="G216" s="12" t="s">
        <v>725</v>
      </c>
      <c r="H216" s="12" t="s">
        <v>114</v>
      </c>
      <c r="I216" s="12" t="s">
        <v>55</v>
      </c>
      <c r="J216" s="12" t="s">
        <v>48</v>
      </c>
      <c r="K216" s="13">
        <v>46079.0</v>
      </c>
      <c r="L216" s="13"/>
      <c r="M216" s="12"/>
      <c r="N216" s="12"/>
      <c r="O216" s="12"/>
    </row>
    <row r="217" ht="15.75" customHeight="1">
      <c r="A217" s="9" t="s">
        <v>19</v>
      </c>
      <c r="B217" s="9" t="s">
        <v>726</v>
      </c>
      <c r="C217" s="9" t="s">
        <v>648</v>
      </c>
      <c r="D217" s="9" t="s">
        <v>302</v>
      </c>
      <c r="E217" s="9" t="s">
        <v>71</v>
      </c>
      <c r="F217" s="9" t="s">
        <v>45</v>
      </c>
      <c r="G217" s="9" t="s">
        <v>727</v>
      </c>
      <c r="H217" s="9" t="s">
        <v>304</v>
      </c>
      <c r="I217" s="9" t="s">
        <v>55</v>
      </c>
      <c r="J217" s="9" t="s">
        <v>48</v>
      </c>
      <c r="K217" s="10">
        <v>46056.0</v>
      </c>
      <c r="L217" s="10"/>
      <c r="M217" s="9"/>
      <c r="N217" s="9" t="s">
        <v>29</v>
      </c>
      <c r="O217" s="9"/>
    </row>
    <row r="218" ht="15.75" customHeight="1">
      <c r="A218" s="12" t="s">
        <v>115</v>
      </c>
      <c r="B218" s="12" t="s">
        <v>728</v>
      </c>
      <c r="C218" s="12" t="s">
        <v>101</v>
      </c>
      <c r="D218" s="12" t="s">
        <v>477</v>
      </c>
      <c r="E218" s="12" t="s">
        <v>97</v>
      </c>
      <c r="F218" s="12" t="s">
        <v>35</v>
      </c>
      <c r="G218" s="12" t="s">
        <v>729</v>
      </c>
      <c r="H218" s="12" t="s">
        <v>479</v>
      </c>
      <c r="I218" s="12" t="s">
        <v>38</v>
      </c>
      <c r="J218" s="12" t="s">
        <v>39</v>
      </c>
      <c r="K218" s="13">
        <v>46022.0</v>
      </c>
      <c r="L218" s="13">
        <v>46026.0</v>
      </c>
      <c r="M218" s="12">
        <v>4.0</v>
      </c>
      <c r="N218" s="12"/>
      <c r="O218" s="12"/>
    </row>
    <row r="219" ht="15.75" customHeight="1">
      <c r="A219" s="9" t="s">
        <v>19</v>
      </c>
      <c r="B219" s="9" t="s">
        <v>730</v>
      </c>
      <c r="C219" s="9" t="s">
        <v>731</v>
      </c>
      <c r="D219" s="9" t="s">
        <v>152</v>
      </c>
      <c r="E219" s="9" t="s">
        <v>52</v>
      </c>
      <c r="F219" s="9" t="s">
        <v>24</v>
      </c>
      <c r="G219" s="9" t="s">
        <v>732</v>
      </c>
      <c r="H219" s="9" t="s">
        <v>154</v>
      </c>
      <c r="I219" s="9" t="s">
        <v>27</v>
      </c>
      <c r="J219" s="9" t="s">
        <v>28</v>
      </c>
      <c r="K219" s="10">
        <v>46057.0</v>
      </c>
      <c r="L219" s="10"/>
      <c r="M219" s="9"/>
      <c r="N219" s="9" t="s">
        <v>29</v>
      </c>
      <c r="O219" s="9"/>
    </row>
    <row r="220" ht="15.75" customHeight="1">
      <c r="A220" s="12" t="s">
        <v>19</v>
      </c>
      <c r="B220" s="12" t="s">
        <v>733</v>
      </c>
      <c r="C220" s="12" t="s">
        <v>200</v>
      </c>
      <c r="D220" s="12" t="s">
        <v>734</v>
      </c>
      <c r="E220" s="12" t="s">
        <v>59</v>
      </c>
      <c r="F220" s="12" t="s">
        <v>24</v>
      </c>
      <c r="G220" s="12" t="s">
        <v>735</v>
      </c>
      <c r="H220" s="12" t="s">
        <v>736</v>
      </c>
      <c r="I220" s="12" t="s">
        <v>38</v>
      </c>
      <c r="J220" s="12" t="s">
        <v>28</v>
      </c>
      <c r="K220" s="13">
        <v>46076.0</v>
      </c>
      <c r="L220" s="13"/>
      <c r="M220" s="12"/>
      <c r="N220" s="12"/>
      <c r="O220" s="12"/>
    </row>
    <row r="221" ht="15.75" customHeight="1">
      <c r="A221" s="9" t="s">
        <v>115</v>
      </c>
      <c r="B221" s="9" t="s">
        <v>737</v>
      </c>
      <c r="C221" s="9" t="s">
        <v>738</v>
      </c>
      <c r="D221" s="9" t="s">
        <v>70</v>
      </c>
      <c r="E221" s="9" t="s">
        <v>44</v>
      </c>
      <c r="F221" s="9" t="s">
        <v>45</v>
      </c>
      <c r="G221" s="9" t="s">
        <v>739</v>
      </c>
      <c r="H221" s="9" t="s">
        <v>73</v>
      </c>
      <c r="I221" s="9" t="s">
        <v>27</v>
      </c>
      <c r="J221" s="9" t="s">
        <v>39</v>
      </c>
      <c r="K221" s="10">
        <v>46038.0</v>
      </c>
      <c r="L221" s="10">
        <v>46047.0</v>
      </c>
      <c r="M221" s="9">
        <v>9.0</v>
      </c>
      <c r="N221" s="9"/>
      <c r="O221" s="9"/>
    </row>
    <row r="222" ht="15.75" customHeight="1">
      <c r="A222" s="12" t="s">
        <v>30</v>
      </c>
      <c r="B222" s="12" t="s">
        <v>740</v>
      </c>
      <c r="C222" s="12" t="s">
        <v>140</v>
      </c>
      <c r="D222" s="12" t="s">
        <v>185</v>
      </c>
      <c r="E222" s="12" t="s">
        <v>59</v>
      </c>
      <c r="F222" s="12" t="s">
        <v>35</v>
      </c>
      <c r="G222" s="12" t="s">
        <v>741</v>
      </c>
      <c r="H222" s="12" t="s">
        <v>188</v>
      </c>
      <c r="I222" s="12" t="s">
        <v>38</v>
      </c>
      <c r="J222" s="12" t="s">
        <v>39</v>
      </c>
      <c r="K222" s="13">
        <v>46026.0</v>
      </c>
      <c r="L222" s="13">
        <v>46029.0</v>
      </c>
      <c r="M222" s="12">
        <v>3.0</v>
      </c>
      <c r="N222" s="12"/>
      <c r="O222" s="12"/>
    </row>
    <row r="223" ht="15.75" customHeight="1">
      <c r="A223" s="9" t="s">
        <v>40</v>
      </c>
      <c r="B223" s="9" t="s">
        <v>742</v>
      </c>
      <c r="C223" s="9" t="s">
        <v>195</v>
      </c>
      <c r="D223" s="9" t="s">
        <v>391</v>
      </c>
      <c r="E223" s="9" t="s">
        <v>118</v>
      </c>
      <c r="F223" s="9" t="s">
        <v>45</v>
      </c>
      <c r="G223" s="9" t="s">
        <v>743</v>
      </c>
      <c r="H223" s="9" t="s">
        <v>393</v>
      </c>
      <c r="I223" s="9" t="s">
        <v>27</v>
      </c>
      <c r="J223" s="9" t="s">
        <v>48</v>
      </c>
      <c r="K223" s="10">
        <v>46065.0</v>
      </c>
      <c r="L223" s="10"/>
      <c r="M223" s="9"/>
      <c r="N223" s="9" t="s">
        <v>29</v>
      </c>
      <c r="O223" s="9"/>
    </row>
    <row r="224" ht="15.75" customHeight="1">
      <c r="A224" s="12" t="s">
        <v>40</v>
      </c>
      <c r="B224" s="12" t="s">
        <v>744</v>
      </c>
      <c r="C224" s="12" t="s">
        <v>745</v>
      </c>
      <c r="D224" s="12" t="s">
        <v>319</v>
      </c>
      <c r="E224" s="12" t="s">
        <v>52</v>
      </c>
      <c r="F224" s="12" t="s">
        <v>35</v>
      </c>
      <c r="G224" s="12" t="s">
        <v>746</v>
      </c>
      <c r="H224" s="12" t="s">
        <v>321</v>
      </c>
      <c r="I224" s="12" t="s">
        <v>55</v>
      </c>
      <c r="J224" s="12" t="s">
        <v>48</v>
      </c>
      <c r="K224" s="13">
        <v>46080.0</v>
      </c>
      <c r="L224" s="13"/>
      <c r="M224" s="12"/>
      <c r="N224" s="12"/>
      <c r="O224" s="12"/>
    </row>
    <row r="225" ht="15.75" customHeight="1">
      <c r="A225" s="9" t="s">
        <v>115</v>
      </c>
      <c r="B225" s="9" t="s">
        <v>747</v>
      </c>
      <c r="C225" s="9" t="s">
        <v>731</v>
      </c>
      <c r="D225" s="9" t="s">
        <v>286</v>
      </c>
      <c r="E225" s="9" t="s">
        <v>34</v>
      </c>
      <c r="F225" s="9" t="s">
        <v>35</v>
      </c>
      <c r="G225" s="9" t="s">
        <v>748</v>
      </c>
      <c r="H225" s="9" t="s">
        <v>288</v>
      </c>
      <c r="I225" s="9" t="s">
        <v>55</v>
      </c>
      <c r="J225" s="9" t="s">
        <v>39</v>
      </c>
      <c r="K225" s="10">
        <v>46057.0</v>
      </c>
      <c r="L225" s="10">
        <v>46060.0</v>
      </c>
      <c r="M225" s="9">
        <v>3.0</v>
      </c>
      <c r="N225" s="9"/>
      <c r="O225" s="9"/>
    </row>
    <row r="226" ht="15.75" customHeight="1">
      <c r="A226" s="12" t="s">
        <v>40</v>
      </c>
      <c r="B226" s="12" t="s">
        <v>749</v>
      </c>
      <c r="C226" s="12" t="s">
        <v>708</v>
      </c>
      <c r="D226" s="12" t="s">
        <v>196</v>
      </c>
      <c r="E226" s="12" t="s">
        <v>71</v>
      </c>
      <c r="F226" s="12" t="s">
        <v>45</v>
      </c>
      <c r="G226" s="12" t="s">
        <v>750</v>
      </c>
      <c r="H226" s="12" t="s">
        <v>198</v>
      </c>
      <c r="I226" s="12" t="s">
        <v>38</v>
      </c>
      <c r="J226" s="12" t="s">
        <v>48</v>
      </c>
      <c r="K226" s="13">
        <v>46032.0</v>
      </c>
      <c r="L226" s="13"/>
      <c r="M226" s="12"/>
      <c r="N226" s="12" t="s">
        <v>125</v>
      </c>
      <c r="O226" s="12"/>
    </row>
    <row r="227" ht="15.75" customHeight="1">
      <c r="A227" s="9" t="s">
        <v>30</v>
      </c>
      <c r="B227" s="9" t="s">
        <v>751</v>
      </c>
      <c r="C227" s="9" t="s">
        <v>244</v>
      </c>
      <c r="D227" s="9" t="s">
        <v>424</v>
      </c>
      <c r="E227" s="9" t="s">
        <v>71</v>
      </c>
      <c r="F227" s="9" t="s">
        <v>24</v>
      </c>
      <c r="G227" s="9" t="s">
        <v>752</v>
      </c>
      <c r="H227" s="9" t="s">
        <v>426</v>
      </c>
      <c r="I227" s="9" t="s">
        <v>38</v>
      </c>
      <c r="J227" s="9" t="s">
        <v>48</v>
      </c>
      <c r="K227" s="10">
        <v>46035.0</v>
      </c>
      <c r="L227" s="10"/>
      <c r="M227" s="9"/>
      <c r="N227" s="9" t="s">
        <v>125</v>
      </c>
      <c r="O227" s="9"/>
    </row>
    <row r="228" ht="15.75" customHeight="1">
      <c r="A228" s="12" t="s">
        <v>30</v>
      </c>
      <c r="B228" s="12" t="s">
        <v>753</v>
      </c>
      <c r="C228" s="12" t="s">
        <v>234</v>
      </c>
      <c r="D228" s="12" t="s">
        <v>377</v>
      </c>
      <c r="E228" s="12" t="s">
        <v>97</v>
      </c>
      <c r="F228" s="12" t="s">
        <v>24</v>
      </c>
      <c r="G228" s="12" t="s">
        <v>754</v>
      </c>
      <c r="H228" s="12" t="s">
        <v>379</v>
      </c>
      <c r="I228" s="12" t="s">
        <v>27</v>
      </c>
      <c r="J228" s="12" t="s">
        <v>28</v>
      </c>
      <c r="K228" s="13">
        <v>46025.0</v>
      </c>
      <c r="L228" s="13"/>
      <c r="M228" s="12"/>
      <c r="N228" s="12" t="s">
        <v>125</v>
      </c>
      <c r="O228" s="12"/>
    </row>
    <row r="229" ht="15.75" customHeight="1">
      <c r="A229" s="9" t="s">
        <v>30</v>
      </c>
      <c r="B229" s="9" t="s">
        <v>755</v>
      </c>
      <c r="C229" s="9" t="s">
        <v>318</v>
      </c>
      <c r="D229" s="9" t="s">
        <v>65</v>
      </c>
      <c r="E229" s="9" t="s">
        <v>186</v>
      </c>
      <c r="F229" s="9" t="s">
        <v>45</v>
      </c>
      <c r="G229" s="9" t="s">
        <v>756</v>
      </c>
      <c r="H229" s="9" t="s">
        <v>67</v>
      </c>
      <c r="I229" s="9" t="s">
        <v>55</v>
      </c>
      <c r="J229" s="9" t="s">
        <v>39</v>
      </c>
      <c r="K229" s="10">
        <v>46061.0</v>
      </c>
      <c r="L229" s="10">
        <v>46065.0</v>
      </c>
      <c r="M229" s="9">
        <v>4.0</v>
      </c>
      <c r="N229" s="9"/>
      <c r="O229" s="9"/>
    </row>
    <row r="230" ht="15.75" customHeight="1">
      <c r="A230" s="12" t="s">
        <v>30</v>
      </c>
      <c r="B230" s="12" t="s">
        <v>757</v>
      </c>
      <c r="C230" s="12" t="s">
        <v>489</v>
      </c>
      <c r="D230" s="12" t="s">
        <v>465</v>
      </c>
      <c r="E230" s="12" t="s">
        <v>71</v>
      </c>
      <c r="F230" s="12" t="s">
        <v>45</v>
      </c>
      <c r="G230" s="12" t="s">
        <v>758</v>
      </c>
      <c r="H230" s="12" t="s">
        <v>467</v>
      </c>
      <c r="I230" s="12" t="s">
        <v>27</v>
      </c>
      <c r="J230" s="12" t="s">
        <v>28</v>
      </c>
      <c r="K230" s="13">
        <v>46046.0</v>
      </c>
      <c r="L230" s="13"/>
      <c r="M230" s="12"/>
      <c r="N230" s="12" t="s">
        <v>125</v>
      </c>
      <c r="O230" s="12"/>
    </row>
    <row r="231" ht="15.75" customHeight="1">
      <c r="A231" s="9" t="s">
        <v>30</v>
      </c>
      <c r="B231" s="9" t="s">
        <v>759</v>
      </c>
      <c r="C231" s="9" t="s">
        <v>338</v>
      </c>
      <c r="D231" s="9" t="s">
        <v>377</v>
      </c>
      <c r="E231" s="9" t="s">
        <v>97</v>
      </c>
      <c r="F231" s="9" t="s">
        <v>45</v>
      </c>
      <c r="G231" s="9" t="s">
        <v>760</v>
      </c>
      <c r="H231" s="9" t="s">
        <v>379</v>
      </c>
      <c r="I231" s="9" t="s">
        <v>27</v>
      </c>
      <c r="J231" s="9" t="s">
        <v>28</v>
      </c>
      <c r="K231" s="10">
        <v>46064.0</v>
      </c>
      <c r="L231" s="10"/>
      <c r="M231" s="9"/>
      <c r="N231" s="9" t="s">
        <v>29</v>
      </c>
      <c r="O231" s="9"/>
    </row>
    <row r="232" ht="15.75" customHeight="1">
      <c r="A232" s="12" t="s">
        <v>115</v>
      </c>
      <c r="B232" s="12" t="s">
        <v>761</v>
      </c>
      <c r="C232" s="12" t="s">
        <v>399</v>
      </c>
      <c r="D232" s="12" t="s">
        <v>448</v>
      </c>
      <c r="E232" s="12" t="s">
        <v>71</v>
      </c>
      <c r="F232" s="12" t="s">
        <v>45</v>
      </c>
      <c r="G232" s="12" t="s">
        <v>762</v>
      </c>
      <c r="H232" s="12" t="s">
        <v>450</v>
      </c>
      <c r="I232" s="12" t="s">
        <v>55</v>
      </c>
      <c r="J232" s="12" t="s">
        <v>28</v>
      </c>
      <c r="K232" s="13">
        <v>46049.0</v>
      </c>
      <c r="L232" s="13"/>
      <c r="M232" s="12"/>
      <c r="N232" s="12" t="s">
        <v>125</v>
      </c>
      <c r="O232" s="12"/>
    </row>
    <row r="233" ht="15.75" customHeight="1">
      <c r="A233" s="9" t="s">
        <v>30</v>
      </c>
      <c r="B233" s="9" t="s">
        <v>763</v>
      </c>
      <c r="C233" s="9" t="s">
        <v>101</v>
      </c>
      <c r="D233" s="9" t="s">
        <v>516</v>
      </c>
      <c r="E233" s="9" t="s">
        <v>23</v>
      </c>
      <c r="F233" s="9" t="s">
        <v>45</v>
      </c>
      <c r="G233" s="9" t="s">
        <v>764</v>
      </c>
      <c r="H233" s="9" t="s">
        <v>518</v>
      </c>
      <c r="I233" s="9" t="s">
        <v>38</v>
      </c>
      <c r="J233" s="9" t="s">
        <v>39</v>
      </c>
      <c r="K233" s="10">
        <v>46061.0</v>
      </c>
      <c r="L233" s="10">
        <v>46063.0</v>
      </c>
      <c r="M233" s="9">
        <v>2.0</v>
      </c>
      <c r="N233" s="9"/>
      <c r="O233" s="9"/>
    </row>
    <row r="234" ht="15.75" customHeight="1">
      <c r="A234" s="12" t="s">
        <v>40</v>
      </c>
      <c r="B234" s="12" t="s">
        <v>765</v>
      </c>
      <c r="C234" s="12" t="s">
        <v>227</v>
      </c>
      <c r="D234" s="12" t="s">
        <v>555</v>
      </c>
      <c r="E234" s="12" t="s">
        <v>186</v>
      </c>
      <c r="F234" s="12" t="s">
        <v>24</v>
      </c>
      <c r="G234" s="12" t="s">
        <v>766</v>
      </c>
      <c r="H234" s="12" t="s">
        <v>557</v>
      </c>
      <c r="I234" s="12" t="s">
        <v>27</v>
      </c>
      <c r="J234" s="12" t="s">
        <v>28</v>
      </c>
      <c r="K234" s="13">
        <v>46077.0</v>
      </c>
      <c r="L234" s="13"/>
      <c r="M234" s="12"/>
      <c r="N234" s="12"/>
      <c r="O234" s="12"/>
    </row>
    <row r="235" ht="15.75" customHeight="1">
      <c r="A235" s="9" t="s">
        <v>115</v>
      </c>
      <c r="B235" s="9" t="s">
        <v>767</v>
      </c>
      <c r="C235" s="9" t="s">
        <v>90</v>
      </c>
      <c r="D235" s="9" t="s">
        <v>223</v>
      </c>
      <c r="E235" s="9" t="s">
        <v>34</v>
      </c>
      <c r="F235" s="9" t="s">
        <v>24</v>
      </c>
      <c r="G235" s="9" t="s">
        <v>768</v>
      </c>
      <c r="H235" s="9" t="s">
        <v>225</v>
      </c>
      <c r="I235" s="9" t="s">
        <v>27</v>
      </c>
      <c r="J235" s="9" t="s">
        <v>48</v>
      </c>
      <c r="K235" s="10">
        <v>46048.0</v>
      </c>
      <c r="L235" s="10"/>
      <c r="M235" s="9"/>
      <c r="N235" s="9" t="s">
        <v>125</v>
      </c>
      <c r="O235" s="9"/>
    </row>
    <row r="236" ht="15.75" customHeight="1">
      <c r="A236" s="12" t="s">
        <v>30</v>
      </c>
      <c r="B236" s="12" t="s">
        <v>769</v>
      </c>
      <c r="C236" s="12" t="s">
        <v>410</v>
      </c>
      <c r="D236" s="12" t="s">
        <v>33</v>
      </c>
      <c r="E236" s="12" t="s">
        <v>186</v>
      </c>
      <c r="F236" s="12" t="s">
        <v>45</v>
      </c>
      <c r="G236" s="12" t="s">
        <v>770</v>
      </c>
      <c r="H236" s="12" t="s">
        <v>37</v>
      </c>
      <c r="I236" s="12" t="s">
        <v>38</v>
      </c>
      <c r="J236" s="12" t="s">
        <v>48</v>
      </c>
      <c r="K236" s="13">
        <v>46036.0</v>
      </c>
      <c r="L236" s="13"/>
      <c r="M236" s="12"/>
      <c r="N236" s="12" t="s">
        <v>125</v>
      </c>
      <c r="O236" s="12"/>
    </row>
    <row r="237" ht="15.75" customHeight="1">
      <c r="A237" s="9" t="s">
        <v>62</v>
      </c>
      <c r="B237" s="9" t="s">
        <v>771</v>
      </c>
      <c r="C237" s="9" t="s">
        <v>175</v>
      </c>
      <c r="D237" s="9" t="s">
        <v>477</v>
      </c>
      <c r="E237" s="9" t="s">
        <v>186</v>
      </c>
      <c r="F237" s="9" t="s">
        <v>45</v>
      </c>
      <c r="G237" s="9" t="s">
        <v>772</v>
      </c>
      <c r="H237" s="9" t="s">
        <v>479</v>
      </c>
      <c r="I237" s="9" t="s">
        <v>55</v>
      </c>
      <c r="J237" s="9" t="s">
        <v>48</v>
      </c>
      <c r="K237" s="10">
        <v>46071.0</v>
      </c>
      <c r="L237" s="10"/>
      <c r="M237" s="9"/>
      <c r="N237" s="9"/>
      <c r="O237" s="9"/>
    </row>
    <row r="238" ht="15.75" customHeight="1">
      <c r="A238" s="12" t="s">
        <v>30</v>
      </c>
      <c r="B238" s="12" t="s">
        <v>773</v>
      </c>
      <c r="C238" s="12" t="s">
        <v>178</v>
      </c>
      <c r="D238" s="12" t="s">
        <v>329</v>
      </c>
      <c r="E238" s="12" t="s">
        <v>23</v>
      </c>
      <c r="F238" s="12" t="s">
        <v>35</v>
      </c>
      <c r="G238" s="12" t="s">
        <v>774</v>
      </c>
      <c r="H238" s="12" t="s">
        <v>331</v>
      </c>
      <c r="I238" s="12" t="s">
        <v>55</v>
      </c>
      <c r="J238" s="12" t="s">
        <v>39</v>
      </c>
      <c r="K238" s="13">
        <v>46032.0</v>
      </c>
      <c r="L238" s="13">
        <v>46041.0</v>
      </c>
      <c r="M238" s="12">
        <v>9.0</v>
      </c>
      <c r="N238" s="12"/>
      <c r="O238" s="12"/>
    </row>
    <row r="239" ht="15.75" customHeight="1">
      <c r="A239" s="9" t="s">
        <v>19</v>
      </c>
      <c r="B239" s="9" t="s">
        <v>775</v>
      </c>
      <c r="C239" s="9" t="s">
        <v>354</v>
      </c>
      <c r="D239" s="9" t="s">
        <v>65</v>
      </c>
      <c r="E239" s="9" t="s">
        <v>118</v>
      </c>
      <c r="F239" s="9" t="s">
        <v>45</v>
      </c>
      <c r="G239" s="9" t="s">
        <v>776</v>
      </c>
      <c r="H239" s="9" t="s">
        <v>67</v>
      </c>
      <c r="I239" s="9" t="s">
        <v>55</v>
      </c>
      <c r="J239" s="9" t="s">
        <v>39</v>
      </c>
      <c r="K239" s="10">
        <v>46061.0</v>
      </c>
      <c r="L239" s="10">
        <v>46063.0</v>
      </c>
      <c r="M239" s="9">
        <v>2.0</v>
      </c>
      <c r="N239" s="9"/>
      <c r="O239" s="9"/>
    </row>
    <row r="240" ht="15.75" customHeight="1">
      <c r="A240" s="12" t="s">
        <v>62</v>
      </c>
      <c r="B240" s="12" t="s">
        <v>777</v>
      </c>
      <c r="C240" s="12" t="s">
        <v>190</v>
      </c>
      <c r="D240" s="12" t="s">
        <v>136</v>
      </c>
      <c r="E240" s="12" t="s">
        <v>44</v>
      </c>
      <c r="F240" s="12" t="s">
        <v>45</v>
      </c>
      <c r="G240" s="12" t="s">
        <v>778</v>
      </c>
      <c r="H240" s="12" t="s">
        <v>138</v>
      </c>
      <c r="I240" s="12" t="s">
        <v>27</v>
      </c>
      <c r="J240" s="12" t="s">
        <v>39</v>
      </c>
      <c r="K240" s="13">
        <v>46035.0</v>
      </c>
      <c r="L240" s="13">
        <v>46044.0</v>
      </c>
      <c r="M240" s="12">
        <v>9.0</v>
      </c>
      <c r="N240" s="12"/>
      <c r="O240" s="12"/>
    </row>
    <row r="241" ht="15.75" customHeight="1">
      <c r="A241" s="9" t="s">
        <v>30</v>
      </c>
      <c r="B241" s="9" t="s">
        <v>779</v>
      </c>
      <c r="C241" s="9" t="s">
        <v>318</v>
      </c>
      <c r="D241" s="9" t="s">
        <v>357</v>
      </c>
      <c r="E241" s="9" t="s">
        <v>52</v>
      </c>
      <c r="F241" s="9" t="s">
        <v>24</v>
      </c>
      <c r="G241" s="9" t="s">
        <v>780</v>
      </c>
      <c r="H241" s="9" t="s">
        <v>359</v>
      </c>
      <c r="I241" s="9" t="s">
        <v>55</v>
      </c>
      <c r="J241" s="9" t="s">
        <v>39</v>
      </c>
      <c r="K241" s="10">
        <v>46023.0</v>
      </c>
      <c r="L241" s="10">
        <v>46032.0</v>
      </c>
      <c r="M241" s="9">
        <v>9.0</v>
      </c>
      <c r="N241" s="9"/>
      <c r="O241" s="9"/>
    </row>
    <row r="242" ht="15.75" customHeight="1">
      <c r="A242" s="12" t="s">
        <v>19</v>
      </c>
      <c r="B242" s="12" t="s">
        <v>781</v>
      </c>
      <c r="C242" s="12" t="s">
        <v>276</v>
      </c>
      <c r="D242" s="12" t="s">
        <v>448</v>
      </c>
      <c r="E242" s="12" t="s">
        <v>34</v>
      </c>
      <c r="F242" s="12" t="s">
        <v>45</v>
      </c>
      <c r="G242" s="12" t="s">
        <v>782</v>
      </c>
      <c r="H242" s="12" t="s">
        <v>450</v>
      </c>
      <c r="I242" s="12" t="s">
        <v>27</v>
      </c>
      <c r="J242" s="12" t="s">
        <v>39</v>
      </c>
      <c r="K242" s="13">
        <v>46037.0</v>
      </c>
      <c r="L242" s="13">
        <v>46046.0</v>
      </c>
      <c r="M242" s="12">
        <v>9.0</v>
      </c>
      <c r="N242" s="12"/>
      <c r="O242" s="12"/>
    </row>
    <row r="243" ht="15.75" customHeight="1">
      <c r="A243" s="9" t="s">
        <v>40</v>
      </c>
      <c r="B243" s="9" t="s">
        <v>783</v>
      </c>
      <c r="C243" s="9" t="s">
        <v>648</v>
      </c>
      <c r="D243" s="9" t="s">
        <v>784</v>
      </c>
      <c r="E243" s="9" t="s">
        <v>59</v>
      </c>
      <c r="F243" s="9" t="s">
        <v>24</v>
      </c>
      <c r="G243" s="9" t="s">
        <v>785</v>
      </c>
      <c r="H243" s="9" t="s">
        <v>786</v>
      </c>
      <c r="I243" s="9" t="s">
        <v>55</v>
      </c>
      <c r="J243" s="9" t="s">
        <v>39</v>
      </c>
      <c r="K243" s="10">
        <v>46024.0</v>
      </c>
      <c r="L243" s="10">
        <v>46031.0</v>
      </c>
      <c r="M243" s="9">
        <v>7.0</v>
      </c>
      <c r="N243" s="9"/>
      <c r="O243" s="9"/>
    </row>
    <row r="244" ht="15.75" customHeight="1">
      <c r="A244" s="12" t="s">
        <v>19</v>
      </c>
      <c r="B244" s="12" t="s">
        <v>787</v>
      </c>
      <c r="C244" s="12" t="s">
        <v>195</v>
      </c>
      <c r="D244" s="12" t="s">
        <v>500</v>
      </c>
      <c r="E244" s="12" t="s">
        <v>81</v>
      </c>
      <c r="F244" s="12" t="s">
        <v>45</v>
      </c>
      <c r="G244" s="12" t="s">
        <v>788</v>
      </c>
      <c r="H244" s="12" t="s">
        <v>502</v>
      </c>
      <c r="I244" s="12" t="s">
        <v>38</v>
      </c>
      <c r="J244" s="12" t="s">
        <v>28</v>
      </c>
      <c r="K244" s="13">
        <v>46047.0</v>
      </c>
      <c r="L244" s="13"/>
      <c r="M244" s="12"/>
      <c r="N244" s="12" t="s">
        <v>125</v>
      </c>
      <c r="O244" s="12"/>
    </row>
    <row r="245" ht="15.75" customHeight="1">
      <c r="A245" s="9" t="s">
        <v>40</v>
      </c>
      <c r="B245" s="9" t="s">
        <v>789</v>
      </c>
      <c r="C245" s="9" t="s">
        <v>551</v>
      </c>
      <c r="D245" s="9" t="s">
        <v>230</v>
      </c>
      <c r="E245" s="9" t="s">
        <v>97</v>
      </c>
      <c r="F245" s="9" t="s">
        <v>45</v>
      </c>
      <c r="G245" s="9" t="s">
        <v>790</v>
      </c>
      <c r="H245" s="9" t="s">
        <v>232</v>
      </c>
      <c r="I245" s="9" t="s">
        <v>38</v>
      </c>
      <c r="J245" s="9" t="s">
        <v>48</v>
      </c>
      <c r="K245" s="10">
        <v>46038.0</v>
      </c>
      <c r="L245" s="10"/>
      <c r="M245" s="9"/>
      <c r="N245" s="9" t="s">
        <v>125</v>
      </c>
      <c r="O245" s="9"/>
    </row>
    <row r="246" ht="15.75" customHeight="1">
      <c r="A246" s="12" t="s">
        <v>19</v>
      </c>
      <c r="B246" s="12" t="s">
        <v>791</v>
      </c>
      <c r="C246" s="12" t="s">
        <v>792</v>
      </c>
      <c r="D246" s="12" t="s">
        <v>152</v>
      </c>
      <c r="E246" s="12" t="s">
        <v>97</v>
      </c>
      <c r="F246" s="12" t="s">
        <v>35</v>
      </c>
      <c r="G246" s="12" t="s">
        <v>793</v>
      </c>
      <c r="H246" s="12" t="s">
        <v>154</v>
      </c>
      <c r="I246" s="12" t="s">
        <v>27</v>
      </c>
      <c r="J246" s="12" t="s">
        <v>39</v>
      </c>
      <c r="K246" s="13">
        <v>46077.0</v>
      </c>
      <c r="L246" s="13">
        <v>46087.0</v>
      </c>
      <c r="M246" s="12">
        <v>10.0</v>
      </c>
      <c r="N246" s="12"/>
      <c r="O246" s="12"/>
    </row>
    <row r="247" ht="15.75" customHeight="1">
      <c r="A247" s="9" t="s">
        <v>40</v>
      </c>
      <c r="B247" s="9" t="s">
        <v>794</v>
      </c>
      <c r="C247" s="9" t="s">
        <v>85</v>
      </c>
      <c r="D247" s="9" t="s">
        <v>264</v>
      </c>
      <c r="E247" s="9" t="s">
        <v>186</v>
      </c>
      <c r="F247" s="9" t="s">
        <v>35</v>
      </c>
      <c r="G247" s="9" t="s">
        <v>795</v>
      </c>
      <c r="H247" s="9" t="s">
        <v>266</v>
      </c>
      <c r="I247" s="9" t="s">
        <v>38</v>
      </c>
      <c r="J247" s="9" t="s">
        <v>39</v>
      </c>
      <c r="K247" s="10">
        <v>46077.0</v>
      </c>
      <c r="L247" s="10">
        <v>46085.0</v>
      </c>
      <c r="M247" s="9">
        <v>8.0</v>
      </c>
      <c r="N247" s="9"/>
      <c r="O247" s="9"/>
    </row>
    <row r="248" ht="15.75" customHeight="1">
      <c r="A248" s="12" t="s">
        <v>115</v>
      </c>
      <c r="B248" s="12" t="s">
        <v>796</v>
      </c>
      <c r="C248" s="12" t="s">
        <v>276</v>
      </c>
      <c r="D248" s="12" t="s">
        <v>797</v>
      </c>
      <c r="E248" s="12" t="s">
        <v>34</v>
      </c>
      <c r="F248" s="12" t="s">
        <v>35</v>
      </c>
      <c r="G248" s="12" t="s">
        <v>798</v>
      </c>
      <c r="H248" s="12" t="s">
        <v>799</v>
      </c>
      <c r="I248" s="12" t="s">
        <v>38</v>
      </c>
      <c r="J248" s="12" t="s">
        <v>28</v>
      </c>
      <c r="K248" s="13">
        <v>46056.0</v>
      </c>
      <c r="L248" s="13"/>
      <c r="M248" s="12"/>
      <c r="N248" s="12" t="s">
        <v>29</v>
      </c>
      <c r="O248" s="12"/>
    </row>
    <row r="249" ht="15.75" customHeight="1">
      <c r="A249" s="9" t="s">
        <v>30</v>
      </c>
      <c r="B249" s="9" t="s">
        <v>800</v>
      </c>
      <c r="C249" s="9" t="s">
        <v>792</v>
      </c>
      <c r="D249" s="9" t="s">
        <v>51</v>
      </c>
      <c r="E249" s="9" t="s">
        <v>81</v>
      </c>
      <c r="F249" s="9" t="s">
        <v>45</v>
      </c>
      <c r="G249" s="9" t="s">
        <v>801</v>
      </c>
      <c r="H249" s="9" t="s">
        <v>54</v>
      </c>
      <c r="I249" s="9" t="s">
        <v>27</v>
      </c>
      <c r="J249" s="9" t="s">
        <v>39</v>
      </c>
      <c r="K249" s="10">
        <v>46078.0</v>
      </c>
      <c r="L249" s="10">
        <v>46084.0</v>
      </c>
      <c r="M249" s="9">
        <v>6.0</v>
      </c>
      <c r="N249" s="9"/>
      <c r="O249" s="9"/>
    </row>
    <row r="250" ht="15.75" customHeight="1">
      <c r="A250" s="12" t="s">
        <v>40</v>
      </c>
      <c r="B250" s="12" t="s">
        <v>802</v>
      </c>
      <c r="C250" s="12" t="s">
        <v>195</v>
      </c>
      <c r="D250" s="12" t="s">
        <v>444</v>
      </c>
      <c r="E250" s="12" t="s">
        <v>44</v>
      </c>
      <c r="F250" s="12" t="s">
        <v>35</v>
      </c>
      <c r="G250" s="12" t="s">
        <v>803</v>
      </c>
      <c r="H250" s="12" t="s">
        <v>446</v>
      </c>
      <c r="I250" s="12" t="s">
        <v>27</v>
      </c>
      <c r="J250" s="12" t="s">
        <v>39</v>
      </c>
      <c r="K250" s="13">
        <v>46038.0</v>
      </c>
      <c r="L250" s="13">
        <v>46042.0</v>
      </c>
      <c r="M250" s="12">
        <v>4.0</v>
      </c>
      <c r="N250" s="12"/>
      <c r="O250" s="12"/>
    </row>
    <row r="251" ht="15.75" customHeight="1">
      <c r="A251" s="9" t="s">
        <v>115</v>
      </c>
      <c r="B251" s="9" t="s">
        <v>804</v>
      </c>
      <c r="C251" s="9" t="s">
        <v>234</v>
      </c>
      <c r="D251" s="9" t="s">
        <v>272</v>
      </c>
      <c r="E251" s="9" t="s">
        <v>118</v>
      </c>
      <c r="F251" s="9" t="s">
        <v>45</v>
      </c>
      <c r="G251" s="9" t="s">
        <v>805</v>
      </c>
      <c r="H251" s="9" t="s">
        <v>274</v>
      </c>
      <c r="I251" s="9" t="s">
        <v>55</v>
      </c>
      <c r="J251" s="9" t="s">
        <v>28</v>
      </c>
      <c r="K251" s="10">
        <v>46047.0</v>
      </c>
      <c r="L251" s="10"/>
      <c r="M251" s="9"/>
      <c r="N251" s="9" t="s">
        <v>125</v>
      </c>
      <c r="O251" s="9"/>
    </row>
    <row r="252" ht="15.75" customHeight="1">
      <c r="A252" s="12" t="s">
        <v>40</v>
      </c>
      <c r="B252" s="12" t="s">
        <v>806</v>
      </c>
      <c r="C252" s="12" t="s">
        <v>178</v>
      </c>
      <c r="D252" s="12" t="s">
        <v>807</v>
      </c>
      <c r="E252" s="12" t="s">
        <v>118</v>
      </c>
      <c r="F252" s="12" t="s">
        <v>35</v>
      </c>
      <c r="G252" s="12" t="s">
        <v>808</v>
      </c>
      <c r="H252" s="12" t="s">
        <v>809</v>
      </c>
      <c r="I252" s="12" t="s">
        <v>38</v>
      </c>
      <c r="J252" s="12" t="s">
        <v>39</v>
      </c>
      <c r="K252" s="13">
        <v>46031.0</v>
      </c>
      <c r="L252" s="13">
        <v>46041.0</v>
      </c>
      <c r="M252" s="12">
        <v>10.0</v>
      </c>
      <c r="N252" s="12"/>
      <c r="O252" s="12"/>
    </row>
    <row r="253" ht="15.75" customHeight="1">
      <c r="A253" s="9" t="s">
        <v>62</v>
      </c>
      <c r="B253" s="9" t="s">
        <v>810</v>
      </c>
      <c r="C253" s="9" t="s">
        <v>811</v>
      </c>
      <c r="D253" s="9" t="s">
        <v>516</v>
      </c>
      <c r="E253" s="9" t="s">
        <v>52</v>
      </c>
      <c r="F253" s="9" t="s">
        <v>45</v>
      </c>
      <c r="G253" s="9" t="s">
        <v>812</v>
      </c>
      <c r="H253" s="9" t="s">
        <v>518</v>
      </c>
      <c r="I253" s="9" t="s">
        <v>55</v>
      </c>
      <c r="J253" s="9" t="s">
        <v>39</v>
      </c>
      <c r="K253" s="10">
        <v>46029.0</v>
      </c>
      <c r="L253" s="10">
        <v>46037.0</v>
      </c>
      <c r="M253" s="9">
        <v>8.0</v>
      </c>
      <c r="N253" s="9"/>
      <c r="O253" s="9"/>
    </row>
    <row r="254" ht="15.75" customHeight="1">
      <c r="A254" s="12" t="s">
        <v>40</v>
      </c>
      <c r="B254" s="12" t="s">
        <v>813</v>
      </c>
      <c r="C254" s="12" t="s">
        <v>69</v>
      </c>
      <c r="D254" s="12" t="s">
        <v>286</v>
      </c>
      <c r="E254" s="12" t="s">
        <v>71</v>
      </c>
      <c r="F254" s="12" t="s">
        <v>45</v>
      </c>
      <c r="G254" s="12" t="s">
        <v>814</v>
      </c>
      <c r="H254" s="12" t="s">
        <v>288</v>
      </c>
      <c r="I254" s="12" t="s">
        <v>55</v>
      </c>
      <c r="J254" s="12" t="s">
        <v>39</v>
      </c>
      <c r="K254" s="13">
        <v>46038.0</v>
      </c>
      <c r="L254" s="13">
        <v>46044.0</v>
      </c>
      <c r="M254" s="12">
        <v>6.0</v>
      </c>
      <c r="N254" s="12"/>
      <c r="O254" s="12"/>
    </row>
    <row r="255" ht="15.75" customHeight="1">
      <c r="A255" s="9" t="s">
        <v>115</v>
      </c>
      <c r="B255" s="9" t="s">
        <v>815</v>
      </c>
      <c r="C255" s="9" t="s">
        <v>333</v>
      </c>
      <c r="D255" s="9" t="s">
        <v>147</v>
      </c>
      <c r="E255" s="9" t="s">
        <v>71</v>
      </c>
      <c r="F255" s="9" t="s">
        <v>45</v>
      </c>
      <c r="G255" s="9" t="s">
        <v>816</v>
      </c>
      <c r="H255" s="9" t="s">
        <v>149</v>
      </c>
      <c r="I255" s="9" t="s">
        <v>27</v>
      </c>
      <c r="J255" s="9" t="s">
        <v>48</v>
      </c>
      <c r="K255" s="10">
        <v>46021.0</v>
      </c>
      <c r="L255" s="10"/>
      <c r="M255" s="9"/>
      <c r="N255" s="9" t="s">
        <v>125</v>
      </c>
      <c r="O255" s="9"/>
    </row>
    <row r="256" ht="15.75" customHeight="1">
      <c r="A256" s="12" t="s">
        <v>30</v>
      </c>
      <c r="B256" s="12" t="s">
        <v>817</v>
      </c>
      <c r="C256" s="12" t="s">
        <v>160</v>
      </c>
      <c r="D256" s="12" t="s">
        <v>65</v>
      </c>
      <c r="E256" s="12" t="s">
        <v>59</v>
      </c>
      <c r="F256" s="12" t="s">
        <v>45</v>
      </c>
      <c r="G256" s="12" t="s">
        <v>818</v>
      </c>
      <c r="H256" s="12" t="s">
        <v>67</v>
      </c>
      <c r="I256" s="12" t="s">
        <v>27</v>
      </c>
      <c r="J256" s="12" t="s">
        <v>48</v>
      </c>
      <c r="K256" s="13">
        <v>46074.0</v>
      </c>
      <c r="L256" s="13"/>
      <c r="M256" s="12"/>
      <c r="N256" s="12"/>
      <c r="O256" s="12"/>
    </row>
    <row r="257" ht="15.75" customHeight="1">
      <c r="A257" s="9" t="s">
        <v>30</v>
      </c>
      <c r="B257" s="9" t="s">
        <v>819</v>
      </c>
      <c r="C257" s="9" t="s">
        <v>151</v>
      </c>
      <c r="D257" s="9" t="s">
        <v>334</v>
      </c>
      <c r="E257" s="9" t="s">
        <v>59</v>
      </c>
      <c r="F257" s="9" t="s">
        <v>24</v>
      </c>
      <c r="G257" s="9" t="s">
        <v>820</v>
      </c>
      <c r="H257" s="9" t="s">
        <v>336</v>
      </c>
      <c r="I257" s="9" t="s">
        <v>27</v>
      </c>
      <c r="J257" s="9" t="s">
        <v>39</v>
      </c>
      <c r="K257" s="10">
        <v>46052.0</v>
      </c>
      <c r="L257" s="10">
        <v>46056.0</v>
      </c>
      <c r="M257" s="9">
        <v>4.0</v>
      </c>
      <c r="N257" s="9"/>
      <c r="O257" s="9"/>
    </row>
    <row r="258" ht="15.75" customHeight="1">
      <c r="A258" s="12" t="s">
        <v>40</v>
      </c>
      <c r="B258" s="12" t="s">
        <v>821</v>
      </c>
      <c r="C258" s="12" t="s">
        <v>381</v>
      </c>
      <c r="D258" s="12" t="s">
        <v>235</v>
      </c>
      <c r="E258" s="12" t="s">
        <v>97</v>
      </c>
      <c r="F258" s="12" t="s">
        <v>45</v>
      </c>
      <c r="G258" s="12" t="s">
        <v>822</v>
      </c>
      <c r="H258" s="12" t="s">
        <v>237</v>
      </c>
      <c r="I258" s="12" t="s">
        <v>55</v>
      </c>
      <c r="J258" s="12" t="s">
        <v>39</v>
      </c>
      <c r="K258" s="13">
        <v>46065.0</v>
      </c>
      <c r="L258" s="13">
        <v>46074.0</v>
      </c>
      <c r="M258" s="12">
        <v>9.0</v>
      </c>
      <c r="N258" s="12"/>
      <c r="O258" s="12"/>
    </row>
    <row r="259" ht="15.75" customHeight="1">
      <c r="A259" s="9" t="s">
        <v>62</v>
      </c>
      <c r="B259" s="9" t="s">
        <v>823</v>
      </c>
      <c r="C259" s="9" t="s">
        <v>458</v>
      </c>
      <c r="D259" s="9" t="s">
        <v>334</v>
      </c>
      <c r="E259" s="9" t="s">
        <v>118</v>
      </c>
      <c r="F259" s="9" t="s">
        <v>35</v>
      </c>
      <c r="G259" s="9" t="s">
        <v>824</v>
      </c>
      <c r="H259" s="9" t="s">
        <v>336</v>
      </c>
      <c r="I259" s="9" t="s">
        <v>38</v>
      </c>
      <c r="J259" s="9" t="s">
        <v>28</v>
      </c>
      <c r="K259" s="10">
        <v>46051.0</v>
      </c>
      <c r="L259" s="10"/>
      <c r="M259" s="9"/>
      <c r="N259" s="9" t="s">
        <v>29</v>
      </c>
      <c r="O259" s="9"/>
    </row>
    <row r="260" ht="15.75" customHeight="1">
      <c r="A260" s="12" t="s">
        <v>19</v>
      </c>
      <c r="B260" s="12" t="s">
        <v>825</v>
      </c>
      <c r="C260" s="12" t="s">
        <v>146</v>
      </c>
      <c r="D260" s="12" t="s">
        <v>555</v>
      </c>
      <c r="E260" s="12" t="s">
        <v>44</v>
      </c>
      <c r="F260" s="12" t="s">
        <v>24</v>
      </c>
      <c r="G260" s="12" t="s">
        <v>826</v>
      </c>
      <c r="H260" s="12" t="s">
        <v>557</v>
      </c>
      <c r="I260" s="12" t="s">
        <v>55</v>
      </c>
      <c r="J260" s="12" t="s">
        <v>28</v>
      </c>
      <c r="K260" s="13">
        <v>46074.0</v>
      </c>
      <c r="L260" s="13"/>
      <c r="M260" s="12"/>
      <c r="N260" s="12"/>
      <c r="O260" s="12"/>
    </row>
    <row r="261" ht="15.75" customHeight="1">
      <c r="A261" s="9" t="s">
        <v>30</v>
      </c>
      <c r="B261" s="9" t="s">
        <v>827</v>
      </c>
      <c r="C261" s="9" t="s">
        <v>190</v>
      </c>
      <c r="D261" s="9" t="s">
        <v>268</v>
      </c>
      <c r="E261" s="9" t="s">
        <v>71</v>
      </c>
      <c r="F261" s="9" t="s">
        <v>45</v>
      </c>
      <c r="G261" s="9" t="s">
        <v>828</v>
      </c>
      <c r="H261" s="9" t="s">
        <v>270</v>
      </c>
      <c r="I261" s="9" t="s">
        <v>38</v>
      </c>
      <c r="J261" s="9" t="s">
        <v>48</v>
      </c>
      <c r="K261" s="10">
        <v>46053.0</v>
      </c>
      <c r="L261" s="10"/>
      <c r="M261" s="9"/>
      <c r="N261" s="9" t="s">
        <v>29</v>
      </c>
      <c r="O261" s="9"/>
    </row>
    <row r="262" ht="15.75" customHeight="1">
      <c r="A262" s="12" t="s">
        <v>40</v>
      </c>
      <c r="B262" s="12" t="s">
        <v>829</v>
      </c>
      <c r="C262" s="12" t="s">
        <v>343</v>
      </c>
      <c r="D262" s="12" t="s">
        <v>334</v>
      </c>
      <c r="E262" s="12" t="s">
        <v>118</v>
      </c>
      <c r="F262" s="12" t="s">
        <v>35</v>
      </c>
      <c r="G262" s="12" t="s">
        <v>830</v>
      </c>
      <c r="H262" s="12" t="s">
        <v>336</v>
      </c>
      <c r="I262" s="12" t="s">
        <v>38</v>
      </c>
      <c r="J262" s="12" t="s">
        <v>48</v>
      </c>
      <c r="K262" s="13">
        <v>46026.0</v>
      </c>
      <c r="L262" s="13"/>
      <c r="M262" s="12"/>
      <c r="N262" s="12" t="s">
        <v>125</v>
      </c>
      <c r="O262" s="12"/>
    </row>
    <row r="263" ht="15.75" customHeight="1">
      <c r="A263" s="9" t="s">
        <v>30</v>
      </c>
      <c r="B263" s="9" t="s">
        <v>831</v>
      </c>
      <c r="C263" s="9" t="s">
        <v>195</v>
      </c>
      <c r="D263" s="9" t="s">
        <v>156</v>
      </c>
      <c r="E263" s="9" t="s">
        <v>186</v>
      </c>
      <c r="F263" s="9" t="s">
        <v>24</v>
      </c>
      <c r="G263" s="9" t="s">
        <v>832</v>
      </c>
      <c r="H263" s="9" t="s">
        <v>158</v>
      </c>
      <c r="I263" s="9" t="s">
        <v>38</v>
      </c>
      <c r="J263" s="9" t="s">
        <v>39</v>
      </c>
      <c r="K263" s="10">
        <v>46033.0</v>
      </c>
      <c r="L263" s="10">
        <v>46038.0</v>
      </c>
      <c r="M263" s="9">
        <v>5.0</v>
      </c>
      <c r="N263" s="9"/>
      <c r="O263" s="9"/>
    </row>
    <row r="264" ht="15.75" customHeight="1">
      <c r="A264" s="12" t="s">
        <v>19</v>
      </c>
      <c r="B264" s="12" t="s">
        <v>833</v>
      </c>
      <c r="C264" s="12" t="s">
        <v>90</v>
      </c>
      <c r="D264" s="12" t="s">
        <v>490</v>
      </c>
      <c r="E264" s="12" t="s">
        <v>81</v>
      </c>
      <c r="F264" s="12" t="s">
        <v>45</v>
      </c>
      <c r="G264" s="12" t="s">
        <v>834</v>
      </c>
      <c r="H264" s="12" t="s">
        <v>492</v>
      </c>
      <c r="I264" s="12" t="s">
        <v>55</v>
      </c>
      <c r="J264" s="12" t="s">
        <v>39</v>
      </c>
      <c r="K264" s="13">
        <v>46028.0</v>
      </c>
      <c r="L264" s="13">
        <v>46030.0</v>
      </c>
      <c r="M264" s="12">
        <v>2.0</v>
      </c>
      <c r="N264" s="12"/>
      <c r="O264" s="12"/>
    </row>
    <row r="265" ht="15.75" customHeight="1">
      <c r="A265" s="9" t="s">
        <v>115</v>
      </c>
      <c r="B265" s="9" t="s">
        <v>835</v>
      </c>
      <c r="C265" s="9" t="s">
        <v>195</v>
      </c>
      <c r="D265" s="9" t="s">
        <v>836</v>
      </c>
      <c r="E265" s="9" t="s">
        <v>23</v>
      </c>
      <c r="F265" s="9" t="s">
        <v>45</v>
      </c>
      <c r="G265" s="9" t="s">
        <v>837</v>
      </c>
      <c r="H265" s="9" t="s">
        <v>838</v>
      </c>
      <c r="I265" s="9" t="s">
        <v>38</v>
      </c>
      <c r="J265" s="9" t="s">
        <v>48</v>
      </c>
      <c r="K265" s="10">
        <v>46067.0</v>
      </c>
      <c r="L265" s="10"/>
      <c r="M265" s="9"/>
      <c r="N265" s="9"/>
      <c r="O265" s="9"/>
    </row>
    <row r="266" ht="15.75" customHeight="1">
      <c r="A266" s="12" t="s">
        <v>62</v>
      </c>
      <c r="B266" s="12" t="s">
        <v>839</v>
      </c>
      <c r="C266" s="12" t="s">
        <v>203</v>
      </c>
      <c r="D266" s="12" t="s">
        <v>51</v>
      </c>
      <c r="E266" s="12" t="s">
        <v>118</v>
      </c>
      <c r="F266" s="12" t="s">
        <v>35</v>
      </c>
      <c r="G266" s="12" t="s">
        <v>840</v>
      </c>
      <c r="H266" s="12" t="s">
        <v>54</v>
      </c>
      <c r="I266" s="12" t="s">
        <v>38</v>
      </c>
      <c r="J266" s="12" t="s">
        <v>28</v>
      </c>
      <c r="K266" s="13">
        <v>46064.0</v>
      </c>
      <c r="L266" s="13"/>
      <c r="M266" s="12"/>
      <c r="N266" s="12" t="s">
        <v>29</v>
      </c>
      <c r="O266" s="12"/>
    </row>
    <row r="267" ht="15.75" customHeight="1">
      <c r="A267" s="9" t="s">
        <v>30</v>
      </c>
      <c r="B267" s="9" t="s">
        <v>841</v>
      </c>
      <c r="C267" s="9" t="s">
        <v>708</v>
      </c>
      <c r="D267" s="9" t="s">
        <v>33</v>
      </c>
      <c r="E267" s="9" t="s">
        <v>34</v>
      </c>
      <c r="F267" s="9" t="s">
        <v>35</v>
      </c>
      <c r="G267" s="9" t="s">
        <v>842</v>
      </c>
      <c r="H267" s="9" t="s">
        <v>37</v>
      </c>
      <c r="I267" s="9" t="s">
        <v>55</v>
      </c>
      <c r="J267" s="9" t="s">
        <v>48</v>
      </c>
      <c r="K267" s="10">
        <v>46040.0</v>
      </c>
      <c r="L267" s="10"/>
      <c r="M267" s="9"/>
      <c r="N267" s="9" t="s">
        <v>125</v>
      </c>
      <c r="O267" s="9"/>
    </row>
    <row r="268" ht="15.75" customHeight="1">
      <c r="A268" s="12" t="s">
        <v>30</v>
      </c>
      <c r="B268" s="12" t="s">
        <v>843</v>
      </c>
      <c r="C268" s="12" t="s">
        <v>333</v>
      </c>
      <c r="D268" s="12" t="s">
        <v>559</v>
      </c>
      <c r="E268" s="12" t="s">
        <v>186</v>
      </c>
      <c r="F268" s="12" t="s">
        <v>45</v>
      </c>
      <c r="G268" s="12" t="s">
        <v>844</v>
      </c>
      <c r="H268" s="12" t="s">
        <v>561</v>
      </c>
      <c r="I268" s="12" t="s">
        <v>38</v>
      </c>
      <c r="J268" s="12" t="s">
        <v>48</v>
      </c>
      <c r="K268" s="13">
        <v>46049.0</v>
      </c>
      <c r="L268" s="13"/>
      <c r="M268" s="12"/>
      <c r="N268" s="12" t="s">
        <v>125</v>
      </c>
      <c r="O268" s="12"/>
    </row>
    <row r="269" ht="15.75" customHeight="1">
      <c r="A269" s="9" t="s">
        <v>62</v>
      </c>
      <c r="B269" s="9" t="s">
        <v>845</v>
      </c>
      <c r="C269" s="9" t="s">
        <v>135</v>
      </c>
      <c r="D269" s="9" t="s">
        <v>268</v>
      </c>
      <c r="E269" s="9" t="s">
        <v>59</v>
      </c>
      <c r="F269" s="9" t="s">
        <v>24</v>
      </c>
      <c r="G269" s="9" t="s">
        <v>846</v>
      </c>
      <c r="H269" s="9" t="s">
        <v>270</v>
      </c>
      <c r="I269" s="9" t="s">
        <v>55</v>
      </c>
      <c r="J269" s="9" t="s">
        <v>28</v>
      </c>
      <c r="K269" s="10">
        <v>46061.0</v>
      </c>
      <c r="L269" s="10"/>
      <c r="M269" s="9"/>
      <c r="N269" s="9" t="s">
        <v>29</v>
      </c>
      <c r="O269" s="9"/>
    </row>
    <row r="270" ht="15.75" customHeight="1">
      <c r="A270" s="12" t="s">
        <v>62</v>
      </c>
      <c r="B270" s="12" t="s">
        <v>847</v>
      </c>
      <c r="C270" s="12" t="s">
        <v>90</v>
      </c>
      <c r="D270" s="12" t="s">
        <v>128</v>
      </c>
      <c r="E270" s="12" t="s">
        <v>44</v>
      </c>
      <c r="F270" s="12" t="s">
        <v>35</v>
      </c>
      <c r="G270" s="12" t="s">
        <v>848</v>
      </c>
      <c r="H270" s="12" t="s">
        <v>130</v>
      </c>
      <c r="I270" s="12" t="s">
        <v>38</v>
      </c>
      <c r="J270" s="12" t="s">
        <v>39</v>
      </c>
      <c r="K270" s="13">
        <v>46075.0</v>
      </c>
      <c r="L270" s="13">
        <v>46077.0</v>
      </c>
      <c r="M270" s="12">
        <v>2.0</v>
      </c>
      <c r="N270" s="12"/>
      <c r="O270" s="12"/>
    </row>
    <row r="271" ht="15.75" customHeight="1">
      <c r="A271" s="9" t="s">
        <v>30</v>
      </c>
      <c r="B271" s="9" t="s">
        <v>849</v>
      </c>
      <c r="C271" s="9" t="s">
        <v>218</v>
      </c>
      <c r="D271" s="9" t="s">
        <v>400</v>
      </c>
      <c r="E271" s="9" t="s">
        <v>118</v>
      </c>
      <c r="F271" s="9" t="s">
        <v>35</v>
      </c>
      <c r="G271" s="9" t="s">
        <v>850</v>
      </c>
      <c r="H271" s="9" t="s">
        <v>402</v>
      </c>
      <c r="I271" s="9" t="s">
        <v>38</v>
      </c>
      <c r="J271" s="9" t="s">
        <v>39</v>
      </c>
      <c r="K271" s="10">
        <v>46029.0</v>
      </c>
      <c r="L271" s="10">
        <v>46031.0</v>
      </c>
      <c r="M271" s="9">
        <v>2.0</v>
      </c>
      <c r="N271" s="9"/>
      <c r="O271" s="9"/>
    </row>
    <row r="272" ht="15.75" customHeight="1">
      <c r="A272" s="12" t="s">
        <v>115</v>
      </c>
      <c r="B272" s="12" t="s">
        <v>851</v>
      </c>
      <c r="C272" s="12" t="s">
        <v>792</v>
      </c>
      <c r="D272" s="12" t="s">
        <v>395</v>
      </c>
      <c r="E272" s="12" t="s">
        <v>44</v>
      </c>
      <c r="F272" s="12" t="s">
        <v>45</v>
      </c>
      <c r="G272" s="12" t="s">
        <v>852</v>
      </c>
      <c r="H272" s="12" t="s">
        <v>397</v>
      </c>
      <c r="I272" s="12" t="s">
        <v>55</v>
      </c>
      <c r="J272" s="12" t="s">
        <v>39</v>
      </c>
      <c r="K272" s="13">
        <v>46029.0</v>
      </c>
      <c r="L272" s="13">
        <v>46034.0</v>
      </c>
      <c r="M272" s="12">
        <v>5.0</v>
      </c>
      <c r="N272" s="12"/>
      <c r="O272" s="12"/>
    </row>
    <row r="273" ht="15.75" customHeight="1">
      <c r="A273" s="9" t="s">
        <v>19</v>
      </c>
      <c r="B273" s="9" t="s">
        <v>853</v>
      </c>
      <c r="C273" s="9" t="s">
        <v>731</v>
      </c>
      <c r="D273" s="9" t="s">
        <v>684</v>
      </c>
      <c r="E273" s="9" t="s">
        <v>44</v>
      </c>
      <c r="F273" s="9" t="s">
        <v>35</v>
      </c>
      <c r="G273" s="9" t="s">
        <v>854</v>
      </c>
      <c r="H273" s="9" t="s">
        <v>686</v>
      </c>
      <c r="I273" s="9" t="s">
        <v>55</v>
      </c>
      <c r="J273" s="9" t="s">
        <v>28</v>
      </c>
      <c r="K273" s="10">
        <v>46043.0</v>
      </c>
      <c r="L273" s="10"/>
      <c r="M273" s="9"/>
      <c r="N273" s="9" t="s">
        <v>125</v>
      </c>
      <c r="O273" s="9"/>
    </row>
    <row r="274" ht="15.75" customHeight="1">
      <c r="A274" s="12" t="s">
        <v>62</v>
      </c>
      <c r="B274" s="12" t="s">
        <v>855</v>
      </c>
      <c r="C274" s="12" t="s">
        <v>708</v>
      </c>
      <c r="D274" s="12" t="s">
        <v>136</v>
      </c>
      <c r="E274" s="12" t="s">
        <v>52</v>
      </c>
      <c r="F274" s="12" t="s">
        <v>45</v>
      </c>
      <c r="G274" s="12" t="s">
        <v>856</v>
      </c>
      <c r="H274" s="12" t="s">
        <v>138</v>
      </c>
      <c r="I274" s="12" t="s">
        <v>55</v>
      </c>
      <c r="J274" s="12" t="s">
        <v>48</v>
      </c>
      <c r="K274" s="13">
        <v>46033.0</v>
      </c>
      <c r="L274" s="13"/>
      <c r="M274" s="12"/>
      <c r="N274" s="12" t="s">
        <v>125</v>
      </c>
      <c r="O274" s="12"/>
    </row>
    <row r="275" ht="15.75" customHeight="1">
      <c r="A275" s="9" t="s">
        <v>115</v>
      </c>
      <c r="B275" s="9" t="s">
        <v>857</v>
      </c>
      <c r="C275" s="9" t="s">
        <v>101</v>
      </c>
      <c r="D275" s="9" t="s">
        <v>298</v>
      </c>
      <c r="E275" s="9" t="s">
        <v>81</v>
      </c>
      <c r="F275" s="9" t="s">
        <v>35</v>
      </c>
      <c r="G275" s="9" t="s">
        <v>858</v>
      </c>
      <c r="H275" s="9" t="s">
        <v>300</v>
      </c>
      <c r="I275" s="9" t="s">
        <v>55</v>
      </c>
      <c r="J275" s="9" t="s">
        <v>28</v>
      </c>
      <c r="K275" s="10">
        <v>46070.0</v>
      </c>
      <c r="L275" s="10"/>
      <c r="M275" s="9"/>
      <c r="N275" s="9"/>
      <c r="O275" s="9"/>
    </row>
    <row r="276" ht="15.75" customHeight="1">
      <c r="A276" s="12" t="s">
        <v>19</v>
      </c>
      <c r="B276" s="12" t="s">
        <v>859</v>
      </c>
      <c r="C276" s="12" t="s">
        <v>132</v>
      </c>
      <c r="D276" s="12" t="s">
        <v>219</v>
      </c>
      <c r="E276" s="12" t="s">
        <v>34</v>
      </c>
      <c r="F276" s="12" t="s">
        <v>24</v>
      </c>
      <c r="G276" s="12" t="s">
        <v>860</v>
      </c>
      <c r="H276" s="12" t="s">
        <v>221</v>
      </c>
      <c r="I276" s="12" t="s">
        <v>27</v>
      </c>
      <c r="J276" s="12" t="s">
        <v>28</v>
      </c>
      <c r="K276" s="13">
        <v>46053.0</v>
      </c>
      <c r="L276" s="13"/>
      <c r="M276" s="12"/>
      <c r="N276" s="12" t="s">
        <v>29</v>
      </c>
      <c r="O276" s="12"/>
    </row>
    <row r="277" ht="15.75" customHeight="1">
      <c r="A277" s="9" t="s">
        <v>115</v>
      </c>
      <c r="B277" s="9" t="s">
        <v>861</v>
      </c>
      <c r="C277" s="9" t="s">
        <v>32</v>
      </c>
      <c r="D277" s="9" t="s">
        <v>112</v>
      </c>
      <c r="E277" s="9" t="s">
        <v>71</v>
      </c>
      <c r="F277" s="9" t="s">
        <v>35</v>
      </c>
      <c r="G277" s="9" t="s">
        <v>862</v>
      </c>
      <c r="H277" s="9" t="s">
        <v>114</v>
      </c>
      <c r="I277" s="9" t="s">
        <v>55</v>
      </c>
      <c r="J277" s="9" t="s">
        <v>39</v>
      </c>
      <c r="K277" s="10">
        <v>46062.0</v>
      </c>
      <c r="L277" s="10">
        <v>46067.0</v>
      </c>
      <c r="M277" s="9">
        <v>5.0</v>
      </c>
      <c r="N277" s="9"/>
      <c r="O277" s="9"/>
    </row>
    <row r="278" ht="15.75" customHeight="1">
      <c r="A278" s="12" t="s">
        <v>62</v>
      </c>
      <c r="B278" s="12" t="s">
        <v>863</v>
      </c>
      <c r="C278" s="12" t="s">
        <v>328</v>
      </c>
      <c r="D278" s="12" t="s">
        <v>191</v>
      </c>
      <c r="E278" s="12" t="s">
        <v>34</v>
      </c>
      <c r="F278" s="12" t="s">
        <v>24</v>
      </c>
      <c r="G278" s="12" t="s">
        <v>864</v>
      </c>
      <c r="H278" s="12" t="s">
        <v>193</v>
      </c>
      <c r="I278" s="12" t="s">
        <v>27</v>
      </c>
      <c r="J278" s="12" t="s">
        <v>48</v>
      </c>
      <c r="K278" s="13">
        <v>46044.0</v>
      </c>
      <c r="L278" s="13"/>
      <c r="M278" s="12"/>
      <c r="N278" s="12" t="s">
        <v>125</v>
      </c>
      <c r="O278" s="12"/>
    </row>
    <row r="279" ht="15.75" customHeight="1">
      <c r="A279" s="9" t="s">
        <v>62</v>
      </c>
      <c r="B279" s="9" t="s">
        <v>865</v>
      </c>
      <c r="C279" s="9" t="s">
        <v>399</v>
      </c>
      <c r="D279" s="9" t="s">
        <v>382</v>
      </c>
      <c r="E279" s="9" t="s">
        <v>97</v>
      </c>
      <c r="F279" s="9" t="s">
        <v>35</v>
      </c>
      <c r="G279" s="9" t="s">
        <v>866</v>
      </c>
      <c r="H279" s="9" t="s">
        <v>384</v>
      </c>
      <c r="I279" s="9" t="s">
        <v>27</v>
      </c>
      <c r="J279" s="9" t="s">
        <v>48</v>
      </c>
      <c r="K279" s="10">
        <v>46038.0</v>
      </c>
      <c r="L279" s="10"/>
      <c r="M279" s="9"/>
      <c r="N279" s="9" t="s">
        <v>125</v>
      </c>
      <c r="O279" s="9"/>
    </row>
    <row r="280" ht="15.75" customHeight="1">
      <c r="A280" s="12" t="s">
        <v>19</v>
      </c>
      <c r="B280" s="12" t="s">
        <v>867</v>
      </c>
      <c r="C280" s="12" t="s">
        <v>554</v>
      </c>
      <c r="D280" s="12" t="s">
        <v>240</v>
      </c>
      <c r="E280" s="12" t="s">
        <v>34</v>
      </c>
      <c r="F280" s="12" t="s">
        <v>24</v>
      </c>
      <c r="G280" s="12" t="s">
        <v>868</v>
      </c>
      <c r="H280" s="12" t="s">
        <v>242</v>
      </c>
      <c r="I280" s="12" t="s">
        <v>55</v>
      </c>
      <c r="J280" s="12" t="s">
        <v>28</v>
      </c>
      <c r="K280" s="13">
        <v>46031.0</v>
      </c>
      <c r="L280" s="13"/>
      <c r="M280" s="12"/>
      <c r="N280" s="12" t="s">
        <v>125</v>
      </c>
      <c r="O280" s="12"/>
    </row>
    <row r="281" ht="15.75" customHeight="1">
      <c r="A281" s="9" t="s">
        <v>19</v>
      </c>
      <c r="B281" s="9" t="s">
        <v>869</v>
      </c>
      <c r="C281" s="9" t="s">
        <v>328</v>
      </c>
      <c r="D281" s="9" t="s">
        <v>58</v>
      </c>
      <c r="E281" s="9" t="s">
        <v>71</v>
      </c>
      <c r="F281" s="9" t="s">
        <v>45</v>
      </c>
      <c r="G281" s="9" t="s">
        <v>870</v>
      </c>
      <c r="H281" s="9" t="s">
        <v>61</v>
      </c>
      <c r="I281" s="9" t="s">
        <v>38</v>
      </c>
      <c r="J281" s="9" t="s">
        <v>28</v>
      </c>
      <c r="K281" s="10">
        <v>46030.0</v>
      </c>
      <c r="L281" s="10"/>
      <c r="M281" s="9"/>
      <c r="N281" s="9" t="s">
        <v>125</v>
      </c>
      <c r="O281" s="9"/>
    </row>
    <row r="282" ht="15.75" customHeight="1">
      <c r="A282" s="12" t="s">
        <v>62</v>
      </c>
      <c r="B282" s="12" t="s">
        <v>871</v>
      </c>
      <c r="C282" s="12" t="s">
        <v>121</v>
      </c>
      <c r="D282" s="12" t="s">
        <v>797</v>
      </c>
      <c r="E282" s="12" t="s">
        <v>186</v>
      </c>
      <c r="F282" s="12" t="s">
        <v>45</v>
      </c>
      <c r="G282" s="12" t="s">
        <v>872</v>
      </c>
      <c r="H282" s="12" t="s">
        <v>799</v>
      </c>
      <c r="I282" s="12" t="s">
        <v>27</v>
      </c>
      <c r="J282" s="12" t="s">
        <v>28</v>
      </c>
      <c r="K282" s="13">
        <v>46054.0</v>
      </c>
      <c r="L282" s="13"/>
      <c r="M282" s="12"/>
      <c r="N282" s="12" t="s">
        <v>29</v>
      </c>
      <c r="O282" s="12"/>
    </row>
    <row r="283" ht="15.75" customHeight="1">
      <c r="A283" s="9" t="s">
        <v>115</v>
      </c>
      <c r="B283" s="9" t="s">
        <v>873</v>
      </c>
      <c r="C283" s="9" t="s">
        <v>811</v>
      </c>
      <c r="D283" s="9" t="s">
        <v>102</v>
      </c>
      <c r="E283" s="9" t="s">
        <v>81</v>
      </c>
      <c r="F283" s="9" t="s">
        <v>45</v>
      </c>
      <c r="G283" s="9" t="s">
        <v>874</v>
      </c>
      <c r="H283" s="9" t="s">
        <v>104</v>
      </c>
      <c r="I283" s="9" t="s">
        <v>55</v>
      </c>
      <c r="J283" s="9" t="s">
        <v>48</v>
      </c>
      <c r="K283" s="10">
        <v>46021.0</v>
      </c>
      <c r="L283" s="10"/>
      <c r="M283" s="9"/>
      <c r="N283" s="9" t="s">
        <v>125</v>
      </c>
      <c r="O283" s="9"/>
    </row>
    <row r="284" ht="15.75" customHeight="1">
      <c r="A284" s="12" t="s">
        <v>19</v>
      </c>
      <c r="B284" s="12" t="s">
        <v>875</v>
      </c>
      <c r="C284" s="12" t="s">
        <v>239</v>
      </c>
      <c r="D284" s="12" t="s">
        <v>166</v>
      </c>
      <c r="E284" s="12" t="s">
        <v>81</v>
      </c>
      <c r="F284" s="12" t="s">
        <v>24</v>
      </c>
      <c r="G284" s="12" t="s">
        <v>876</v>
      </c>
      <c r="H284" s="12" t="s">
        <v>168</v>
      </c>
      <c r="I284" s="12" t="s">
        <v>27</v>
      </c>
      <c r="J284" s="12" t="s">
        <v>48</v>
      </c>
      <c r="K284" s="13">
        <v>46071.0</v>
      </c>
      <c r="L284" s="13"/>
      <c r="M284" s="12"/>
      <c r="N284" s="12"/>
      <c r="O284" s="12"/>
    </row>
    <row r="285" ht="15.75" customHeight="1">
      <c r="A285" s="9" t="s">
        <v>30</v>
      </c>
      <c r="B285" s="9" t="s">
        <v>877</v>
      </c>
      <c r="C285" s="9" t="s">
        <v>111</v>
      </c>
      <c r="D285" s="9" t="s">
        <v>58</v>
      </c>
      <c r="E285" s="9" t="s">
        <v>118</v>
      </c>
      <c r="F285" s="9" t="s">
        <v>35</v>
      </c>
      <c r="G285" s="9" t="s">
        <v>878</v>
      </c>
      <c r="H285" s="9" t="s">
        <v>61</v>
      </c>
      <c r="I285" s="9" t="s">
        <v>55</v>
      </c>
      <c r="J285" s="9" t="s">
        <v>39</v>
      </c>
      <c r="K285" s="10">
        <v>46055.0</v>
      </c>
      <c r="L285" s="10">
        <v>46061.0</v>
      </c>
      <c r="M285" s="9">
        <v>6.0</v>
      </c>
      <c r="N285" s="9"/>
      <c r="O285" s="9"/>
    </row>
    <row r="286" ht="15.75" customHeight="1">
      <c r="A286" s="12" t="s">
        <v>40</v>
      </c>
      <c r="B286" s="12" t="s">
        <v>879</v>
      </c>
      <c r="C286" s="12" t="s">
        <v>708</v>
      </c>
      <c r="D286" s="12" t="s">
        <v>592</v>
      </c>
      <c r="E286" s="12" t="s">
        <v>81</v>
      </c>
      <c r="F286" s="12" t="s">
        <v>45</v>
      </c>
      <c r="G286" s="12" t="s">
        <v>880</v>
      </c>
      <c r="H286" s="12" t="s">
        <v>594</v>
      </c>
      <c r="I286" s="12" t="s">
        <v>55</v>
      </c>
      <c r="J286" s="12" t="s">
        <v>48</v>
      </c>
      <c r="K286" s="13">
        <v>46059.0</v>
      </c>
      <c r="L286" s="13"/>
      <c r="M286" s="12"/>
      <c r="N286" s="12" t="s">
        <v>29</v>
      </c>
      <c r="O286" s="12"/>
    </row>
    <row r="287" ht="15.75" customHeight="1">
      <c r="A287" s="9" t="s">
        <v>115</v>
      </c>
      <c r="B287" s="9" t="s">
        <v>881</v>
      </c>
      <c r="C287" s="9" t="s">
        <v>641</v>
      </c>
      <c r="D287" s="9" t="s">
        <v>136</v>
      </c>
      <c r="E287" s="9" t="s">
        <v>97</v>
      </c>
      <c r="F287" s="9" t="s">
        <v>35</v>
      </c>
      <c r="G287" s="9" t="s">
        <v>882</v>
      </c>
      <c r="H287" s="9" t="s">
        <v>138</v>
      </c>
      <c r="I287" s="9" t="s">
        <v>38</v>
      </c>
      <c r="J287" s="9" t="s">
        <v>48</v>
      </c>
      <c r="K287" s="10">
        <v>46054.0</v>
      </c>
      <c r="L287" s="10"/>
      <c r="M287" s="9"/>
      <c r="N287" s="9" t="s">
        <v>29</v>
      </c>
      <c r="O287" s="9"/>
    </row>
    <row r="288" ht="15.75" customHeight="1">
      <c r="A288" s="12" t="s">
        <v>115</v>
      </c>
      <c r="B288" s="12" t="s">
        <v>883</v>
      </c>
      <c r="C288" s="12" t="s">
        <v>143</v>
      </c>
      <c r="D288" s="12" t="s">
        <v>598</v>
      </c>
      <c r="E288" s="12" t="s">
        <v>118</v>
      </c>
      <c r="F288" s="12" t="s">
        <v>45</v>
      </c>
      <c r="G288" s="12" t="s">
        <v>884</v>
      </c>
      <c r="H288" s="12" t="s">
        <v>600</v>
      </c>
      <c r="I288" s="12" t="s">
        <v>27</v>
      </c>
      <c r="J288" s="12" t="s">
        <v>48</v>
      </c>
      <c r="K288" s="13">
        <v>46071.0</v>
      </c>
      <c r="L288" s="13"/>
      <c r="M288" s="12"/>
      <c r="N288" s="12"/>
      <c r="O288" s="12"/>
    </row>
    <row r="289" ht="15.75" customHeight="1">
      <c r="A289" s="9" t="s">
        <v>19</v>
      </c>
      <c r="B289" s="9" t="s">
        <v>885</v>
      </c>
      <c r="C289" s="9" t="s">
        <v>258</v>
      </c>
      <c r="D289" s="9" t="s">
        <v>298</v>
      </c>
      <c r="E289" s="9" t="s">
        <v>34</v>
      </c>
      <c r="F289" s="9" t="s">
        <v>24</v>
      </c>
      <c r="G289" s="9" t="s">
        <v>886</v>
      </c>
      <c r="H289" s="9" t="s">
        <v>300</v>
      </c>
      <c r="I289" s="9" t="s">
        <v>27</v>
      </c>
      <c r="J289" s="9" t="s">
        <v>28</v>
      </c>
      <c r="K289" s="10">
        <v>46034.0</v>
      </c>
      <c r="L289" s="10"/>
      <c r="M289" s="9"/>
      <c r="N289" s="9" t="s">
        <v>125</v>
      </c>
      <c r="O289" s="9"/>
    </row>
    <row r="290" ht="15.75" customHeight="1">
      <c r="A290" s="12" t="s">
        <v>62</v>
      </c>
      <c r="B290" s="12" t="s">
        <v>887</v>
      </c>
      <c r="C290" s="12" t="s">
        <v>227</v>
      </c>
      <c r="D290" s="12" t="s">
        <v>357</v>
      </c>
      <c r="E290" s="12" t="s">
        <v>34</v>
      </c>
      <c r="F290" s="12" t="s">
        <v>24</v>
      </c>
      <c r="G290" s="12" t="s">
        <v>888</v>
      </c>
      <c r="H290" s="12" t="s">
        <v>359</v>
      </c>
      <c r="I290" s="12" t="s">
        <v>38</v>
      </c>
      <c r="J290" s="12" t="s">
        <v>28</v>
      </c>
      <c r="K290" s="13">
        <v>46067.0</v>
      </c>
      <c r="L290" s="13"/>
      <c r="M290" s="12"/>
      <c r="N290" s="12"/>
      <c r="O290" s="12"/>
    </row>
    <row r="291" ht="15.75" customHeight="1">
      <c r="A291" s="9" t="s">
        <v>62</v>
      </c>
      <c r="B291" s="9" t="s">
        <v>889</v>
      </c>
      <c r="C291" s="9" t="s">
        <v>132</v>
      </c>
      <c r="D291" s="9" t="s">
        <v>156</v>
      </c>
      <c r="E291" s="9" t="s">
        <v>23</v>
      </c>
      <c r="F291" s="9" t="s">
        <v>24</v>
      </c>
      <c r="G291" s="9" t="s">
        <v>890</v>
      </c>
      <c r="H291" s="9" t="s">
        <v>158</v>
      </c>
      <c r="I291" s="9" t="s">
        <v>55</v>
      </c>
      <c r="J291" s="9" t="s">
        <v>48</v>
      </c>
      <c r="K291" s="10">
        <v>46067.0</v>
      </c>
      <c r="L291" s="10"/>
      <c r="M291" s="9"/>
      <c r="N291" s="9"/>
      <c r="O291" s="9"/>
    </row>
    <row r="292" ht="15.75" customHeight="1">
      <c r="A292" s="12" t="s">
        <v>62</v>
      </c>
      <c r="B292" s="12" t="s">
        <v>891</v>
      </c>
      <c r="C292" s="12" t="s">
        <v>323</v>
      </c>
      <c r="D292" s="12" t="s">
        <v>490</v>
      </c>
      <c r="E292" s="12" t="s">
        <v>81</v>
      </c>
      <c r="F292" s="12" t="s">
        <v>35</v>
      </c>
      <c r="G292" s="12" t="s">
        <v>892</v>
      </c>
      <c r="H292" s="12" t="s">
        <v>492</v>
      </c>
      <c r="I292" s="12" t="s">
        <v>55</v>
      </c>
      <c r="J292" s="12" t="s">
        <v>28</v>
      </c>
      <c r="K292" s="13">
        <v>46028.0</v>
      </c>
      <c r="L292" s="13"/>
      <c r="M292" s="12"/>
      <c r="N292" s="12" t="s">
        <v>125</v>
      </c>
      <c r="O292" s="12"/>
    </row>
    <row r="293" ht="15.75" customHeight="1">
      <c r="A293" s="9" t="s">
        <v>30</v>
      </c>
      <c r="B293" s="9" t="s">
        <v>893</v>
      </c>
      <c r="C293" s="9" t="s">
        <v>458</v>
      </c>
      <c r="D293" s="9" t="s">
        <v>291</v>
      </c>
      <c r="E293" s="9" t="s">
        <v>71</v>
      </c>
      <c r="F293" s="9" t="s">
        <v>45</v>
      </c>
      <c r="G293" s="9" t="s">
        <v>894</v>
      </c>
      <c r="H293" s="9" t="s">
        <v>293</v>
      </c>
      <c r="I293" s="9" t="s">
        <v>55</v>
      </c>
      <c r="J293" s="9" t="s">
        <v>48</v>
      </c>
      <c r="K293" s="10">
        <v>46024.0</v>
      </c>
      <c r="L293" s="10"/>
      <c r="M293" s="9"/>
      <c r="N293" s="9" t="s">
        <v>125</v>
      </c>
      <c r="O293" s="9"/>
    </row>
    <row r="294" ht="15.75" customHeight="1">
      <c r="A294" s="12" t="s">
        <v>62</v>
      </c>
      <c r="B294" s="12" t="s">
        <v>895</v>
      </c>
      <c r="C294" s="12" t="s">
        <v>146</v>
      </c>
      <c r="D294" s="12" t="s">
        <v>490</v>
      </c>
      <c r="E294" s="12" t="s">
        <v>44</v>
      </c>
      <c r="F294" s="12" t="s">
        <v>45</v>
      </c>
      <c r="G294" s="12" t="s">
        <v>896</v>
      </c>
      <c r="H294" s="12" t="s">
        <v>492</v>
      </c>
      <c r="I294" s="12" t="s">
        <v>27</v>
      </c>
      <c r="J294" s="12" t="s">
        <v>39</v>
      </c>
      <c r="K294" s="13">
        <v>46057.0</v>
      </c>
      <c r="L294" s="13">
        <v>46060.0</v>
      </c>
      <c r="M294" s="12">
        <v>3.0</v>
      </c>
      <c r="N294" s="12"/>
      <c r="O294" s="12"/>
    </row>
    <row r="295" ht="15.75" customHeight="1">
      <c r="A295" s="9" t="s">
        <v>40</v>
      </c>
      <c r="B295" s="9" t="s">
        <v>897</v>
      </c>
      <c r="C295" s="9" t="s">
        <v>898</v>
      </c>
      <c r="D295" s="9" t="s">
        <v>428</v>
      </c>
      <c r="E295" s="9" t="s">
        <v>186</v>
      </c>
      <c r="F295" s="9" t="s">
        <v>24</v>
      </c>
      <c r="G295" s="9" t="s">
        <v>899</v>
      </c>
      <c r="H295" s="9" t="s">
        <v>430</v>
      </c>
      <c r="I295" s="9" t="s">
        <v>38</v>
      </c>
      <c r="J295" s="9" t="s">
        <v>28</v>
      </c>
      <c r="K295" s="10">
        <v>46059.0</v>
      </c>
      <c r="L295" s="10"/>
      <c r="M295" s="9"/>
      <c r="N295" s="9" t="s">
        <v>29</v>
      </c>
      <c r="O295" s="9"/>
    </row>
    <row r="296" ht="15.75" customHeight="1">
      <c r="A296" s="12" t="s">
        <v>19</v>
      </c>
      <c r="B296" s="12" t="s">
        <v>900</v>
      </c>
      <c r="C296" s="12" t="s">
        <v>215</v>
      </c>
      <c r="D296" s="12" t="s">
        <v>504</v>
      </c>
      <c r="E296" s="12" t="s">
        <v>97</v>
      </c>
      <c r="F296" s="12" t="s">
        <v>24</v>
      </c>
      <c r="G296" s="12" t="s">
        <v>901</v>
      </c>
      <c r="H296" s="12" t="s">
        <v>506</v>
      </c>
      <c r="I296" s="12" t="s">
        <v>55</v>
      </c>
      <c r="J296" s="12" t="s">
        <v>48</v>
      </c>
      <c r="K296" s="13">
        <v>46057.0</v>
      </c>
      <c r="L296" s="13"/>
      <c r="M296" s="12"/>
      <c r="N296" s="12" t="s">
        <v>29</v>
      </c>
      <c r="O296" s="12"/>
    </row>
    <row r="297" ht="15.75" customHeight="1">
      <c r="A297" s="9" t="s">
        <v>40</v>
      </c>
      <c r="B297" s="9" t="s">
        <v>902</v>
      </c>
      <c r="C297" s="9" t="s">
        <v>165</v>
      </c>
      <c r="D297" s="9" t="s">
        <v>836</v>
      </c>
      <c r="E297" s="9" t="s">
        <v>59</v>
      </c>
      <c r="F297" s="9" t="s">
        <v>35</v>
      </c>
      <c r="G297" s="9" t="s">
        <v>903</v>
      </c>
      <c r="H297" s="9" t="s">
        <v>838</v>
      </c>
      <c r="I297" s="9" t="s">
        <v>55</v>
      </c>
      <c r="J297" s="9" t="s">
        <v>39</v>
      </c>
      <c r="K297" s="10">
        <v>46059.0</v>
      </c>
      <c r="L297" s="10">
        <v>46069.0</v>
      </c>
      <c r="M297" s="9">
        <v>10.0</v>
      </c>
      <c r="N297" s="9"/>
      <c r="O297" s="9"/>
    </row>
    <row r="298" ht="15.75" customHeight="1">
      <c r="A298" s="12" t="s">
        <v>19</v>
      </c>
      <c r="B298" s="12" t="s">
        <v>904</v>
      </c>
      <c r="C298" s="12" t="s">
        <v>285</v>
      </c>
      <c r="D298" s="12" t="s">
        <v>128</v>
      </c>
      <c r="E298" s="12" t="s">
        <v>34</v>
      </c>
      <c r="F298" s="12" t="s">
        <v>35</v>
      </c>
      <c r="G298" s="12" t="s">
        <v>905</v>
      </c>
      <c r="H298" s="12" t="s">
        <v>130</v>
      </c>
      <c r="I298" s="12" t="s">
        <v>27</v>
      </c>
      <c r="J298" s="12" t="s">
        <v>39</v>
      </c>
      <c r="K298" s="13">
        <v>46073.0</v>
      </c>
      <c r="L298" s="13">
        <v>46079.0</v>
      </c>
      <c r="M298" s="12">
        <v>6.0</v>
      </c>
      <c r="N298" s="12"/>
      <c r="O298" s="12"/>
    </row>
    <row r="299" ht="15.75" customHeight="1">
      <c r="A299" s="9" t="s">
        <v>30</v>
      </c>
      <c r="B299" s="9" t="s">
        <v>906</v>
      </c>
      <c r="C299" s="9" t="s">
        <v>21</v>
      </c>
      <c r="D299" s="9" t="s">
        <v>208</v>
      </c>
      <c r="E299" s="9" t="s">
        <v>97</v>
      </c>
      <c r="F299" s="9" t="s">
        <v>45</v>
      </c>
      <c r="G299" s="9" t="s">
        <v>907</v>
      </c>
      <c r="H299" s="9" t="s">
        <v>210</v>
      </c>
      <c r="I299" s="9" t="s">
        <v>55</v>
      </c>
      <c r="J299" s="9" t="s">
        <v>28</v>
      </c>
      <c r="K299" s="10">
        <v>46025.0</v>
      </c>
      <c r="L299" s="10"/>
      <c r="M299" s="9"/>
      <c r="N299" s="9" t="s">
        <v>125</v>
      </c>
      <c r="O299" s="9"/>
    </row>
    <row r="300" ht="15.75" customHeight="1">
      <c r="A300" s="12" t="s">
        <v>115</v>
      </c>
      <c r="B300" s="12" t="s">
        <v>908</v>
      </c>
      <c r="C300" s="12" t="s">
        <v>143</v>
      </c>
      <c r="D300" s="12" t="s">
        <v>166</v>
      </c>
      <c r="E300" s="12" t="s">
        <v>71</v>
      </c>
      <c r="F300" s="12" t="s">
        <v>35</v>
      </c>
      <c r="G300" s="12" t="s">
        <v>909</v>
      </c>
      <c r="H300" s="12" t="s">
        <v>168</v>
      </c>
      <c r="I300" s="12" t="s">
        <v>55</v>
      </c>
      <c r="J300" s="12" t="s">
        <v>28</v>
      </c>
      <c r="K300" s="13">
        <v>46064.0</v>
      </c>
      <c r="L300" s="13"/>
      <c r="M300" s="12"/>
      <c r="N300" s="12" t="s">
        <v>29</v>
      </c>
      <c r="O300" s="12"/>
    </row>
    <row r="301" ht="15.75" customHeight="1">
      <c r="A301" s="9" t="s">
        <v>115</v>
      </c>
      <c r="B301" s="9" t="s">
        <v>910</v>
      </c>
      <c r="C301" s="9" t="s">
        <v>354</v>
      </c>
      <c r="D301" s="9" t="s">
        <v>377</v>
      </c>
      <c r="E301" s="9" t="s">
        <v>23</v>
      </c>
      <c r="F301" s="9" t="s">
        <v>35</v>
      </c>
      <c r="G301" s="9" t="s">
        <v>911</v>
      </c>
      <c r="H301" s="9" t="s">
        <v>379</v>
      </c>
      <c r="I301" s="9" t="s">
        <v>55</v>
      </c>
      <c r="J301" s="9" t="s">
        <v>28</v>
      </c>
      <c r="K301" s="10">
        <v>46048.0</v>
      </c>
      <c r="L301" s="10"/>
      <c r="M301" s="9"/>
      <c r="N301" s="9" t="s">
        <v>125</v>
      </c>
      <c r="O301" s="9"/>
    </row>
    <row r="302" ht="15.75" customHeight="1">
      <c r="A302" s="12" t="s">
        <v>30</v>
      </c>
      <c r="B302" s="12" t="s">
        <v>912</v>
      </c>
      <c r="C302" s="12" t="s">
        <v>42</v>
      </c>
      <c r="D302" s="12" t="s">
        <v>240</v>
      </c>
      <c r="E302" s="12" t="s">
        <v>59</v>
      </c>
      <c r="F302" s="12" t="s">
        <v>45</v>
      </c>
      <c r="G302" s="12" t="s">
        <v>913</v>
      </c>
      <c r="H302" s="12" t="s">
        <v>242</v>
      </c>
      <c r="I302" s="12" t="s">
        <v>55</v>
      </c>
      <c r="J302" s="12" t="s">
        <v>28</v>
      </c>
      <c r="K302" s="13">
        <v>46081.0</v>
      </c>
      <c r="L302" s="13"/>
      <c r="M302" s="12"/>
      <c r="N302" s="12"/>
      <c r="O302" s="12"/>
    </row>
    <row r="303" ht="15.75" customHeight="1">
      <c r="A303" s="9" t="s">
        <v>40</v>
      </c>
      <c r="B303" s="9" t="s">
        <v>914</v>
      </c>
      <c r="C303" s="9" t="s">
        <v>50</v>
      </c>
      <c r="D303" s="9" t="s">
        <v>102</v>
      </c>
      <c r="E303" s="9" t="s">
        <v>59</v>
      </c>
      <c r="F303" s="9" t="s">
        <v>24</v>
      </c>
      <c r="G303" s="9" t="s">
        <v>915</v>
      </c>
      <c r="H303" s="9" t="s">
        <v>104</v>
      </c>
      <c r="I303" s="9" t="s">
        <v>27</v>
      </c>
      <c r="J303" s="9" t="s">
        <v>28</v>
      </c>
      <c r="K303" s="10">
        <v>46044.0</v>
      </c>
      <c r="L303" s="10"/>
      <c r="M303" s="9"/>
      <c r="N303" s="9" t="s">
        <v>125</v>
      </c>
      <c r="O303" s="9"/>
    </row>
    <row r="304" ht="15.75" customHeight="1">
      <c r="A304" s="12" t="s">
        <v>19</v>
      </c>
      <c r="B304" s="12" t="s">
        <v>916</v>
      </c>
      <c r="C304" s="12" t="s">
        <v>146</v>
      </c>
      <c r="D304" s="12" t="s">
        <v>369</v>
      </c>
      <c r="E304" s="12" t="s">
        <v>81</v>
      </c>
      <c r="F304" s="12" t="s">
        <v>45</v>
      </c>
      <c r="G304" s="12" t="s">
        <v>917</v>
      </c>
      <c r="H304" s="12" t="s">
        <v>371</v>
      </c>
      <c r="I304" s="12" t="s">
        <v>55</v>
      </c>
      <c r="J304" s="12" t="s">
        <v>39</v>
      </c>
      <c r="K304" s="13">
        <v>46031.0</v>
      </c>
      <c r="L304" s="13">
        <v>46036.0</v>
      </c>
      <c r="M304" s="12">
        <v>5.0</v>
      </c>
      <c r="N304" s="12"/>
      <c r="O304" s="12"/>
    </row>
    <row r="305" ht="15.75" customHeight="1">
      <c r="A305" s="9" t="s">
        <v>30</v>
      </c>
      <c r="B305" s="9" t="s">
        <v>918</v>
      </c>
      <c r="C305" s="9" t="s">
        <v>135</v>
      </c>
      <c r="D305" s="9" t="s">
        <v>334</v>
      </c>
      <c r="E305" s="9" t="s">
        <v>97</v>
      </c>
      <c r="F305" s="9" t="s">
        <v>35</v>
      </c>
      <c r="G305" s="9" t="s">
        <v>919</v>
      </c>
      <c r="H305" s="9" t="s">
        <v>336</v>
      </c>
      <c r="I305" s="9" t="s">
        <v>27</v>
      </c>
      <c r="J305" s="9" t="s">
        <v>48</v>
      </c>
      <c r="K305" s="10">
        <v>46047.0</v>
      </c>
      <c r="L305" s="10"/>
      <c r="M305" s="9"/>
      <c r="N305" s="9" t="s">
        <v>125</v>
      </c>
      <c r="O305" s="9"/>
    </row>
    <row r="306" ht="15.75" customHeight="1">
      <c r="A306" s="12" t="s">
        <v>30</v>
      </c>
      <c r="B306" s="12" t="s">
        <v>920</v>
      </c>
      <c r="C306" s="12" t="s">
        <v>64</v>
      </c>
      <c r="D306" s="12" t="s">
        <v>122</v>
      </c>
      <c r="E306" s="12" t="s">
        <v>59</v>
      </c>
      <c r="F306" s="12" t="s">
        <v>24</v>
      </c>
      <c r="G306" s="12" t="s">
        <v>921</v>
      </c>
      <c r="H306" s="12" t="s">
        <v>124</v>
      </c>
      <c r="I306" s="12" t="s">
        <v>38</v>
      </c>
      <c r="J306" s="12" t="s">
        <v>48</v>
      </c>
      <c r="K306" s="13">
        <v>46040.0</v>
      </c>
      <c r="L306" s="13"/>
      <c r="M306" s="12"/>
      <c r="N306" s="12" t="s">
        <v>125</v>
      </c>
      <c r="O306" s="12"/>
    </row>
    <row r="307" ht="15.75" customHeight="1">
      <c r="A307" s="9" t="s">
        <v>40</v>
      </c>
      <c r="B307" s="9" t="s">
        <v>922</v>
      </c>
      <c r="C307" s="9" t="s">
        <v>745</v>
      </c>
      <c r="D307" s="9" t="s">
        <v>382</v>
      </c>
      <c r="E307" s="9" t="s">
        <v>81</v>
      </c>
      <c r="F307" s="9" t="s">
        <v>24</v>
      </c>
      <c r="G307" s="9" t="s">
        <v>923</v>
      </c>
      <c r="H307" s="9" t="s">
        <v>384</v>
      </c>
      <c r="I307" s="9" t="s">
        <v>38</v>
      </c>
      <c r="J307" s="9" t="s">
        <v>48</v>
      </c>
      <c r="K307" s="10">
        <v>46036.0</v>
      </c>
      <c r="L307" s="10"/>
      <c r="M307" s="9"/>
      <c r="N307" s="9" t="s">
        <v>125</v>
      </c>
      <c r="O307" s="9"/>
    </row>
    <row r="308" ht="15.75" customHeight="1">
      <c r="A308" s="12" t="s">
        <v>62</v>
      </c>
      <c r="B308" s="12" t="s">
        <v>924</v>
      </c>
      <c r="C308" s="12" t="s">
        <v>42</v>
      </c>
      <c r="D308" s="12" t="s">
        <v>75</v>
      </c>
      <c r="E308" s="12" t="s">
        <v>81</v>
      </c>
      <c r="F308" s="12" t="s">
        <v>35</v>
      </c>
      <c r="G308" s="12" t="s">
        <v>925</v>
      </c>
      <c r="H308" s="12" t="s">
        <v>77</v>
      </c>
      <c r="I308" s="12" t="s">
        <v>38</v>
      </c>
      <c r="J308" s="12" t="s">
        <v>28</v>
      </c>
      <c r="K308" s="13">
        <v>46022.0</v>
      </c>
      <c r="L308" s="13"/>
      <c r="M308" s="12"/>
      <c r="N308" s="12" t="s">
        <v>125</v>
      </c>
      <c r="O308" s="12"/>
    </row>
    <row r="309" ht="15.75" customHeight="1">
      <c r="A309" s="9" t="s">
        <v>19</v>
      </c>
      <c r="B309" s="9" t="s">
        <v>926</v>
      </c>
      <c r="C309" s="9" t="s">
        <v>42</v>
      </c>
      <c r="D309" s="9" t="s">
        <v>428</v>
      </c>
      <c r="E309" s="9" t="s">
        <v>59</v>
      </c>
      <c r="F309" s="9" t="s">
        <v>24</v>
      </c>
      <c r="G309" s="9" t="s">
        <v>927</v>
      </c>
      <c r="H309" s="9" t="s">
        <v>430</v>
      </c>
      <c r="I309" s="9" t="s">
        <v>27</v>
      </c>
      <c r="J309" s="9" t="s">
        <v>39</v>
      </c>
      <c r="K309" s="10">
        <v>46065.0</v>
      </c>
      <c r="L309" s="10">
        <v>46074.0</v>
      </c>
      <c r="M309" s="9">
        <v>9.0</v>
      </c>
      <c r="N309" s="9"/>
      <c r="O309" s="9"/>
    </row>
    <row r="310" ht="15.75" customHeight="1">
      <c r="A310" s="12" t="s">
        <v>115</v>
      </c>
      <c r="B310" s="12" t="s">
        <v>928</v>
      </c>
      <c r="C310" s="12" t="s">
        <v>121</v>
      </c>
      <c r="D310" s="12" t="s">
        <v>75</v>
      </c>
      <c r="E310" s="12" t="s">
        <v>81</v>
      </c>
      <c r="F310" s="12" t="s">
        <v>35</v>
      </c>
      <c r="G310" s="12" t="s">
        <v>929</v>
      </c>
      <c r="H310" s="12" t="s">
        <v>77</v>
      </c>
      <c r="I310" s="12" t="s">
        <v>55</v>
      </c>
      <c r="J310" s="12" t="s">
        <v>48</v>
      </c>
      <c r="K310" s="13">
        <v>46037.0</v>
      </c>
      <c r="L310" s="13"/>
      <c r="M310" s="12"/>
      <c r="N310" s="12" t="s">
        <v>125</v>
      </c>
      <c r="O310" s="12"/>
    </row>
    <row r="311" ht="15.75" customHeight="1">
      <c r="A311" s="9" t="s">
        <v>115</v>
      </c>
      <c r="B311" s="9" t="s">
        <v>930</v>
      </c>
      <c r="C311" s="9" t="s">
        <v>338</v>
      </c>
      <c r="D311" s="9" t="s">
        <v>319</v>
      </c>
      <c r="E311" s="9" t="s">
        <v>97</v>
      </c>
      <c r="F311" s="9" t="s">
        <v>45</v>
      </c>
      <c r="G311" s="9" t="s">
        <v>931</v>
      </c>
      <c r="H311" s="9" t="s">
        <v>321</v>
      </c>
      <c r="I311" s="9" t="s">
        <v>55</v>
      </c>
      <c r="J311" s="9" t="s">
        <v>28</v>
      </c>
      <c r="K311" s="10">
        <v>46022.0</v>
      </c>
      <c r="L311" s="10"/>
      <c r="M311" s="9"/>
      <c r="N311" s="9" t="s">
        <v>125</v>
      </c>
      <c r="O311" s="9"/>
    </row>
    <row r="312" ht="15.75" customHeight="1">
      <c r="A312" s="12" t="s">
        <v>40</v>
      </c>
      <c r="B312" s="12" t="s">
        <v>932</v>
      </c>
      <c r="C312" s="12" t="s">
        <v>79</v>
      </c>
      <c r="D312" s="12" t="s">
        <v>400</v>
      </c>
      <c r="E312" s="12" t="s">
        <v>118</v>
      </c>
      <c r="F312" s="12" t="s">
        <v>24</v>
      </c>
      <c r="G312" s="12" t="s">
        <v>933</v>
      </c>
      <c r="H312" s="12" t="s">
        <v>402</v>
      </c>
      <c r="I312" s="12" t="s">
        <v>55</v>
      </c>
      <c r="J312" s="12" t="s">
        <v>39</v>
      </c>
      <c r="K312" s="13">
        <v>46036.0</v>
      </c>
      <c r="L312" s="13">
        <v>46045.0</v>
      </c>
      <c r="M312" s="12">
        <v>9.0</v>
      </c>
      <c r="N312" s="12"/>
      <c r="O312" s="12"/>
    </row>
    <row r="313" ht="15.75" customHeight="1">
      <c r="A313" s="9" t="s">
        <v>30</v>
      </c>
      <c r="B313" s="9" t="s">
        <v>934</v>
      </c>
      <c r="C313" s="9" t="s">
        <v>239</v>
      </c>
      <c r="D313" s="9" t="s">
        <v>259</v>
      </c>
      <c r="E313" s="9" t="s">
        <v>34</v>
      </c>
      <c r="F313" s="9" t="s">
        <v>24</v>
      </c>
      <c r="G313" s="9" t="s">
        <v>935</v>
      </c>
      <c r="H313" s="9" t="s">
        <v>261</v>
      </c>
      <c r="I313" s="9" t="s">
        <v>27</v>
      </c>
      <c r="J313" s="9" t="s">
        <v>28</v>
      </c>
      <c r="K313" s="10">
        <v>46053.0</v>
      </c>
      <c r="L313" s="10"/>
      <c r="M313" s="9"/>
      <c r="N313" s="9" t="s">
        <v>29</v>
      </c>
      <c r="O313" s="9"/>
    </row>
    <row r="314" ht="15.75" customHeight="1">
      <c r="A314" s="12" t="s">
        <v>62</v>
      </c>
      <c r="B314" s="12" t="s">
        <v>936</v>
      </c>
      <c r="C314" s="12" t="s">
        <v>21</v>
      </c>
      <c r="D314" s="12" t="s">
        <v>559</v>
      </c>
      <c r="E314" s="12" t="s">
        <v>97</v>
      </c>
      <c r="F314" s="12" t="s">
        <v>45</v>
      </c>
      <c r="G314" s="12" t="s">
        <v>937</v>
      </c>
      <c r="H314" s="12" t="s">
        <v>561</v>
      </c>
      <c r="I314" s="12" t="s">
        <v>27</v>
      </c>
      <c r="J314" s="12" t="s">
        <v>39</v>
      </c>
      <c r="K314" s="13">
        <v>46051.0</v>
      </c>
      <c r="L314" s="13">
        <v>46057.0</v>
      </c>
      <c r="M314" s="12">
        <v>6.0</v>
      </c>
      <c r="N314" s="12"/>
      <c r="O314" s="12"/>
    </row>
    <row r="315" ht="15.75" customHeight="1">
      <c r="A315" s="9" t="s">
        <v>115</v>
      </c>
      <c r="B315" s="9" t="s">
        <v>938</v>
      </c>
      <c r="C315" s="9" t="s">
        <v>811</v>
      </c>
      <c r="D315" s="9" t="s">
        <v>75</v>
      </c>
      <c r="E315" s="9" t="s">
        <v>34</v>
      </c>
      <c r="F315" s="9" t="s">
        <v>45</v>
      </c>
      <c r="G315" s="9" t="s">
        <v>939</v>
      </c>
      <c r="H315" s="9" t="s">
        <v>77</v>
      </c>
      <c r="I315" s="9" t="s">
        <v>55</v>
      </c>
      <c r="J315" s="9" t="s">
        <v>39</v>
      </c>
      <c r="K315" s="10">
        <v>46065.0</v>
      </c>
      <c r="L315" s="10">
        <v>46069.0</v>
      </c>
      <c r="M315" s="9">
        <v>4.0</v>
      </c>
      <c r="N315" s="9"/>
      <c r="O315" s="9"/>
    </row>
    <row r="316" ht="15.75" customHeight="1">
      <c r="A316" s="12" t="s">
        <v>62</v>
      </c>
      <c r="B316" s="12" t="s">
        <v>940</v>
      </c>
      <c r="C316" s="12" t="s">
        <v>354</v>
      </c>
      <c r="D316" s="12" t="s">
        <v>324</v>
      </c>
      <c r="E316" s="12" t="s">
        <v>71</v>
      </c>
      <c r="F316" s="12" t="s">
        <v>35</v>
      </c>
      <c r="G316" s="12" t="s">
        <v>941</v>
      </c>
      <c r="H316" s="12" t="s">
        <v>326</v>
      </c>
      <c r="I316" s="12" t="s">
        <v>38</v>
      </c>
      <c r="J316" s="12" t="s">
        <v>28</v>
      </c>
      <c r="K316" s="13">
        <v>46028.0</v>
      </c>
      <c r="L316" s="13"/>
      <c r="M316" s="12"/>
      <c r="N316" s="12" t="s">
        <v>125</v>
      </c>
      <c r="O316" s="12"/>
    </row>
    <row r="317" ht="15.75" customHeight="1">
      <c r="A317" s="9" t="s">
        <v>62</v>
      </c>
      <c r="B317" s="9" t="s">
        <v>942</v>
      </c>
      <c r="C317" s="9" t="s">
        <v>85</v>
      </c>
      <c r="D317" s="9" t="s">
        <v>428</v>
      </c>
      <c r="E317" s="9" t="s">
        <v>59</v>
      </c>
      <c r="F317" s="9" t="s">
        <v>45</v>
      </c>
      <c r="G317" s="9" t="s">
        <v>943</v>
      </c>
      <c r="H317" s="9" t="s">
        <v>430</v>
      </c>
      <c r="I317" s="9" t="s">
        <v>38</v>
      </c>
      <c r="J317" s="9" t="s">
        <v>28</v>
      </c>
      <c r="K317" s="10">
        <v>46073.0</v>
      </c>
      <c r="L317" s="10"/>
      <c r="M317" s="9"/>
      <c r="N317" s="9"/>
      <c r="O317" s="9"/>
    </row>
    <row r="318" ht="15.75" customHeight="1">
      <c r="A318" s="12" t="s">
        <v>115</v>
      </c>
      <c r="B318" s="12" t="s">
        <v>944</v>
      </c>
      <c r="C318" s="12" t="s">
        <v>135</v>
      </c>
      <c r="D318" s="12" t="s">
        <v>329</v>
      </c>
      <c r="E318" s="12" t="s">
        <v>186</v>
      </c>
      <c r="F318" s="12" t="s">
        <v>45</v>
      </c>
      <c r="G318" s="12" t="s">
        <v>945</v>
      </c>
      <c r="H318" s="12" t="s">
        <v>331</v>
      </c>
      <c r="I318" s="12" t="s">
        <v>38</v>
      </c>
      <c r="J318" s="12" t="s">
        <v>28</v>
      </c>
      <c r="K318" s="13">
        <v>46044.0</v>
      </c>
      <c r="L318" s="13"/>
      <c r="M318" s="12"/>
      <c r="N318" s="12" t="s">
        <v>125</v>
      </c>
      <c r="O318" s="12"/>
    </row>
    <row r="319" ht="15.75" customHeight="1">
      <c r="A319" s="9" t="s">
        <v>19</v>
      </c>
      <c r="B319" s="9" t="s">
        <v>946</v>
      </c>
      <c r="C319" s="9" t="s">
        <v>146</v>
      </c>
      <c r="D319" s="9" t="s">
        <v>350</v>
      </c>
      <c r="E319" s="9" t="s">
        <v>34</v>
      </c>
      <c r="F319" s="9" t="s">
        <v>24</v>
      </c>
      <c r="G319" s="9" t="s">
        <v>947</v>
      </c>
      <c r="H319" s="9" t="s">
        <v>352</v>
      </c>
      <c r="I319" s="9" t="s">
        <v>55</v>
      </c>
      <c r="J319" s="9" t="s">
        <v>48</v>
      </c>
      <c r="K319" s="10">
        <v>46029.0</v>
      </c>
      <c r="L319" s="10"/>
      <c r="M319" s="9"/>
      <c r="N319" s="9" t="s">
        <v>125</v>
      </c>
      <c r="O319" s="9"/>
    </row>
    <row r="320" ht="15.75" customHeight="1">
      <c r="A320" s="12" t="s">
        <v>62</v>
      </c>
      <c r="B320" s="12" t="s">
        <v>948</v>
      </c>
      <c r="C320" s="12" t="s">
        <v>949</v>
      </c>
      <c r="D320" s="12" t="s">
        <v>950</v>
      </c>
      <c r="E320" s="12" t="s">
        <v>59</v>
      </c>
      <c r="F320" s="12" t="s">
        <v>45</v>
      </c>
      <c r="G320" s="12" t="s">
        <v>951</v>
      </c>
      <c r="H320" s="12" t="s">
        <v>952</v>
      </c>
      <c r="I320" s="12" t="s">
        <v>27</v>
      </c>
      <c r="J320" s="12" t="s">
        <v>48</v>
      </c>
      <c r="K320" s="13">
        <v>46026.0</v>
      </c>
      <c r="L320" s="13"/>
      <c r="M320" s="12"/>
      <c r="N320" s="12" t="s">
        <v>125</v>
      </c>
      <c r="O320" s="12"/>
    </row>
    <row r="321" ht="15.75" customHeight="1">
      <c r="A321" s="9" t="s">
        <v>19</v>
      </c>
      <c r="B321" s="9" t="s">
        <v>953</v>
      </c>
      <c r="C321" s="9" t="s">
        <v>628</v>
      </c>
      <c r="D321" s="9" t="s">
        <v>310</v>
      </c>
      <c r="E321" s="9" t="s">
        <v>44</v>
      </c>
      <c r="F321" s="9" t="s">
        <v>24</v>
      </c>
      <c r="G321" s="9" t="s">
        <v>954</v>
      </c>
      <c r="H321" s="9" t="s">
        <v>312</v>
      </c>
      <c r="I321" s="9" t="s">
        <v>55</v>
      </c>
      <c r="J321" s="9" t="s">
        <v>48</v>
      </c>
      <c r="K321" s="10">
        <v>46073.0</v>
      </c>
      <c r="L321" s="10"/>
      <c r="M321" s="9"/>
      <c r="N321" s="9"/>
      <c r="O321" s="9"/>
    </row>
    <row r="322" ht="15.75" customHeight="1">
      <c r="A322" s="12" t="s">
        <v>62</v>
      </c>
      <c r="B322" s="12" t="s">
        <v>955</v>
      </c>
      <c r="C322" s="12" t="s">
        <v>811</v>
      </c>
      <c r="D322" s="12" t="s">
        <v>196</v>
      </c>
      <c r="E322" s="12" t="s">
        <v>118</v>
      </c>
      <c r="F322" s="12" t="s">
        <v>45</v>
      </c>
      <c r="G322" s="12" t="s">
        <v>956</v>
      </c>
      <c r="H322" s="12" t="s">
        <v>198</v>
      </c>
      <c r="I322" s="12" t="s">
        <v>27</v>
      </c>
      <c r="J322" s="12" t="s">
        <v>39</v>
      </c>
      <c r="K322" s="13">
        <v>46073.0</v>
      </c>
      <c r="L322" s="13">
        <v>46083.0</v>
      </c>
      <c r="M322" s="12">
        <v>10.0</v>
      </c>
      <c r="N322" s="12"/>
      <c r="O322" s="12"/>
    </row>
    <row r="323" ht="15.75" customHeight="1">
      <c r="A323" s="9" t="s">
        <v>40</v>
      </c>
      <c r="B323" s="9" t="s">
        <v>957</v>
      </c>
      <c r="C323" s="9" t="s">
        <v>738</v>
      </c>
      <c r="D323" s="9" t="s">
        <v>272</v>
      </c>
      <c r="E323" s="9" t="s">
        <v>44</v>
      </c>
      <c r="F323" s="9" t="s">
        <v>45</v>
      </c>
      <c r="G323" s="9" t="s">
        <v>958</v>
      </c>
      <c r="H323" s="9" t="s">
        <v>274</v>
      </c>
      <c r="I323" s="9" t="s">
        <v>27</v>
      </c>
      <c r="J323" s="9" t="s">
        <v>39</v>
      </c>
      <c r="K323" s="10">
        <v>46048.0</v>
      </c>
      <c r="L323" s="10">
        <v>46057.0</v>
      </c>
      <c r="M323" s="9">
        <v>9.0</v>
      </c>
      <c r="N323" s="9"/>
      <c r="O323" s="9"/>
    </row>
    <row r="324" ht="15.75" customHeight="1">
      <c r="A324" s="12" t="s">
        <v>30</v>
      </c>
      <c r="B324" s="12" t="s">
        <v>959</v>
      </c>
      <c r="C324" s="12" t="s">
        <v>50</v>
      </c>
      <c r="D324" s="12" t="s">
        <v>43</v>
      </c>
      <c r="E324" s="12" t="s">
        <v>118</v>
      </c>
      <c r="F324" s="12" t="s">
        <v>45</v>
      </c>
      <c r="G324" s="12" t="s">
        <v>960</v>
      </c>
      <c r="H324" s="12" t="s">
        <v>47</v>
      </c>
      <c r="I324" s="12" t="s">
        <v>27</v>
      </c>
      <c r="J324" s="12" t="s">
        <v>39</v>
      </c>
      <c r="K324" s="13">
        <v>46048.0</v>
      </c>
      <c r="L324" s="13">
        <v>46052.0</v>
      </c>
      <c r="M324" s="12">
        <v>4.0</v>
      </c>
      <c r="N324" s="12"/>
      <c r="O324" s="12"/>
    </row>
    <row r="325" ht="15.75" customHeight="1">
      <c r="A325" s="9" t="s">
        <v>62</v>
      </c>
      <c r="B325" s="9" t="s">
        <v>961</v>
      </c>
      <c r="C325" s="9" t="s">
        <v>234</v>
      </c>
      <c r="D325" s="9" t="s">
        <v>424</v>
      </c>
      <c r="E325" s="9" t="s">
        <v>71</v>
      </c>
      <c r="F325" s="9" t="s">
        <v>35</v>
      </c>
      <c r="G325" s="9" t="s">
        <v>962</v>
      </c>
      <c r="H325" s="9" t="s">
        <v>426</v>
      </c>
      <c r="I325" s="9" t="s">
        <v>38</v>
      </c>
      <c r="J325" s="9" t="s">
        <v>39</v>
      </c>
      <c r="K325" s="10">
        <v>46081.0</v>
      </c>
      <c r="L325" s="10">
        <v>46090.0</v>
      </c>
      <c r="M325" s="9">
        <v>9.0</v>
      </c>
      <c r="N325" s="9"/>
      <c r="O325" s="9"/>
    </row>
    <row r="326" ht="15.75" customHeight="1">
      <c r="A326" s="12" t="s">
        <v>115</v>
      </c>
      <c r="B326" s="12" t="s">
        <v>963</v>
      </c>
      <c r="C326" s="12" t="s">
        <v>368</v>
      </c>
      <c r="D326" s="12" t="s">
        <v>245</v>
      </c>
      <c r="E326" s="12" t="s">
        <v>81</v>
      </c>
      <c r="F326" s="12" t="s">
        <v>35</v>
      </c>
      <c r="G326" s="12" t="s">
        <v>964</v>
      </c>
      <c r="H326" s="12" t="s">
        <v>247</v>
      </c>
      <c r="I326" s="12" t="s">
        <v>38</v>
      </c>
      <c r="J326" s="12" t="s">
        <v>48</v>
      </c>
      <c r="K326" s="13">
        <v>46023.0</v>
      </c>
      <c r="L326" s="13"/>
      <c r="M326" s="12"/>
      <c r="N326" s="12" t="s">
        <v>125</v>
      </c>
      <c r="O326" s="12"/>
    </row>
    <row r="327" ht="15.75" customHeight="1">
      <c r="A327" s="9" t="s">
        <v>62</v>
      </c>
      <c r="B327" s="9" t="s">
        <v>965</v>
      </c>
      <c r="C327" s="9" t="s">
        <v>554</v>
      </c>
      <c r="D327" s="9" t="s">
        <v>107</v>
      </c>
      <c r="E327" s="9" t="s">
        <v>118</v>
      </c>
      <c r="F327" s="9" t="s">
        <v>24</v>
      </c>
      <c r="G327" s="9" t="s">
        <v>966</v>
      </c>
      <c r="H327" s="9" t="s">
        <v>109</v>
      </c>
      <c r="I327" s="9" t="s">
        <v>55</v>
      </c>
      <c r="J327" s="9" t="s">
        <v>28</v>
      </c>
      <c r="K327" s="10">
        <v>46035.0</v>
      </c>
      <c r="L327" s="10"/>
      <c r="M327" s="9"/>
      <c r="N327" s="9" t="s">
        <v>125</v>
      </c>
      <c r="O327" s="9"/>
    </row>
    <row r="328" ht="15.75" customHeight="1">
      <c r="A328" s="12" t="s">
        <v>40</v>
      </c>
      <c r="B328" s="12" t="s">
        <v>967</v>
      </c>
      <c r="C328" s="12" t="s">
        <v>368</v>
      </c>
      <c r="D328" s="12" t="s">
        <v>65</v>
      </c>
      <c r="E328" s="12" t="s">
        <v>44</v>
      </c>
      <c r="F328" s="12" t="s">
        <v>35</v>
      </c>
      <c r="G328" s="12" t="s">
        <v>968</v>
      </c>
      <c r="H328" s="12" t="s">
        <v>67</v>
      </c>
      <c r="I328" s="12" t="s">
        <v>55</v>
      </c>
      <c r="J328" s="12" t="s">
        <v>28</v>
      </c>
      <c r="K328" s="13">
        <v>46042.0</v>
      </c>
      <c r="L328" s="13"/>
      <c r="M328" s="12"/>
      <c r="N328" s="12" t="s">
        <v>125</v>
      </c>
      <c r="O328" s="12"/>
    </row>
    <row r="329" ht="15.75" customHeight="1">
      <c r="A329" s="9" t="s">
        <v>30</v>
      </c>
      <c r="B329" s="9" t="s">
        <v>969</v>
      </c>
      <c r="C329" s="9" t="s">
        <v>90</v>
      </c>
      <c r="D329" s="9" t="s">
        <v>33</v>
      </c>
      <c r="E329" s="9" t="s">
        <v>71</v>
      </c>
      <c r="F329" s="9" t="s">
        <v>24</v>
      </c>
      <c r="G329" s="9" t="s">
        <v>970</v>
      </c>
      <c r="H329" s="9" t="s">
        <v>37</v>
      </c>
      <c r="I329" s="9" t="s">
        <v>27</v>
      </c>
      <c r="J329" s="9" t="s">
        <v>28</v>
      </c>
      <c r="K329" s="10">
        <v>46054.0</v>
      </c>
      <c r="L329" s="10"/>
      <c r="M329" s="9"/>
      <c r="N329" s="9" t="s">
        <v>29</v>
      </c>
      <c r="O329" s="9"/>
    </row>
    <row r="330" ht="15.75" customHeight="1">
      <c r="A330" s="12" t="s">
        <v>40</v>
      </c>
      <c r="B330" s="12" t="s">
        <v>971</v>
      </c>
      <c r="C330" s="12" t="s">
        <v>244</v>
      </c>
      <c r="D330" s="12" t="s">
        <v>598</v>
      </c>
      <c r="E330" s="12" t="s">
        <v>52</v>
      </c>
      <c r="F330" s="12" t="s">
        <v>35</v>
      </c>
      <c r="G330" s="12" t="s">
        <v>972</v>
      </c>
      <c r="H330" s="12" t="s">
        <v>600</v>
      </c>
      <c r="I330" s="12" t="s">
        <v>38</v>
      </c>
      <c r="J330" s="12" t="s">
        <v>28</v>
      </c>
      <c r="K330" s="13">
        <v>46034.0</v>
      </c>
      <c r="L330" s="13"/>
      <c r="M330" s="12"/>
      <c r="N330" s="12" t="s">
        <v>125</v>
      </c>
      <c r="O330" s="12"/>
    </row>
    <row r="331" ht="15.75" customHeight="1">
      <c r="A331" s="9" t="s">
        <v>115</v>
      </c>
      <c r="B331" s="9" t="s">
        <v>973</v>
      </c>
      <c r="C331" s="9" t="s">
        <v>57</v>
      </c>
      <c r="D331" s="9" t="s">
        <v>559</v>
      </c>
      <c r="E331" s="9" t="s">
        <v>186</v>
      </c>
      <c r="F331" s="9" t="s">
        <v>24</v>
      </c>
      <c r="G331" s="9" t="s">
        <v>974</v>
      </c>
      <c r="H331" s="9" t="s">
        <v>561</v>
      </c>
      <c r="I331" s="9" t="s">
        <v>55</v>
      </c>
      <c r="J331" s="9" t="s">
        <v>48</v>
      </c>
      <c r="K331" s="10">
        <v>46045.0</v>
      </c>
      <c r="L331" s="10"/>
      <c r="M331" s="9"/>
      <c r="N331" s="9" t="s">
        <v>125</v>
      </c>
      <c r="O331" s="9"/>
    </row>
    <row r="332" ht="15.75" customHeight="1">
      <c r="A332" s="12" t="s">
        <v>62</v>
      </c>
      <c r="B332" s="12" t="s">
        <v>975</v>
      </c>
      <c r="C332" s="12" t="s">
        <v>170</v>
      </c>
      <c r="D332" s="12" t="s">
        <v>268</v>
      </c>
      <c r="E332" s="12" t="s">
        <v>44</v>
      </c>
      <c r="F332" s="12" t="s">
        <v>24</v>
      </c>
      <c r="G332" s="12" t="s">
        <v>976</v>
      </c>
      <c r="H332" s="12" t="s">
        <v>270</v>
      </c>
      <c r="I332" s="12" t="s">
        <v>38</v>
      </c>
      <c r="J332" s="12" t="s">
        <v>28</v>
      </c>
      <c r="K332" s="13">
        <v>46035.0</v>
      </c>
      <c r="L332" s="13"/>
      <c r="M332" s="12"/>
      <c r="N332" s="12" t="s">
        <v>125</v>
      </c>
      <c r="O332" s="12"/>
    </row>
    <row r="333" ht="15.75" customHeight="1">
      <c r="A333" s="9" t="s">
        <v>30</v>
      </c>
      <c r="B333" s="9" t="s">
        <v>977</v>
      </c>
      <c r="C333" s="9" t="s">
        <v>318</v>
      </c>
      <c r="D333" s="9" t="s">
        <v>314</v>
      </c>
      <c r="E333" s="9" t="s">
        <v>118</v>
      </c>
      <c r="F333" s="9" t="s">
        <v>35</v>
      </c>
      <c r="G333" s="9" t="s">
        <v>978</v>
      </c>
      <c r="H333" s="9" t="s">
        <v>316</v>
      </c>
      <c r="I333" s="9" t="s">
        <v>55</v>
      </c>
      <c r="J333" s="9" t="s">
        <v>48</v>
      </c>
      <c r="K333" s="10">
        <v>46060.0</v>
      </c>
      <c r="L333" s="10"/>
      <c r="M333" s="9"/>
      <c r="N333" s="9" t="s">
        <v>29</v>
      </c>
      <c r="O333" s="9"/>
    </row>
    <row r="334" ht="15.75" customHeight="1">
      <c r="A334" s="12" t="s">
        <v>62</v>
      </c>
      <c r="B334" s="12" t="s">
        <v>979</v>
      </c>
      <c r="C334" s="12" t="s">
        <v>980</v>
      </c>
      <c r="D334" s="12" t="s">
        <v>420</v>
      </c>
      <c r="E334" s="12" t="s">
        <v>52</v>
      </c>
      <c r="F334" s="12" t="s">
        <v>24</v>
      </c>
      <c r="G334" s="12" t="s">
        <v>981</v>
      </c>
      <c r="H334" s="12" t="s">
        <v>422</v>
      </c>
      <c r="I334" s="12" t="s">
        <v>27</v>
      </c>
      <c r="J334" s="12" t="s">
        <v>48</v>
      </c>
      <c r="K334" s="13">
        <v>46029.0</v>
      </c>
      <c r="L334" s="13"/>
      <c r="M334" s="12"/>
      <c r="N334" s="12" t="s">
        <v>125</v>
      </c>
      <c r="O334" s="12"/>
    </row>
    <row r="335" ht="15.75" customHeight="1">
      <c r="A335" s="9" t="s">
        <v>40</v>
      </c>
      <c r="B335" s="9" t="s">
        <v>982</v>
      </c>
      <c r="C335" s="9" t="s">
        <v>363</v>
      </c>
      <c r="D335" s="9" t="s">
        <v>191</v>
      </c>
      <c r="E335" s="9" t="s">
        <v>81</v>
      </c>
      <c r="F335" s="9" t="s">
        <v>35</v>
      </c>
      <c r="G335" s="9" t="s">
        <v>983</v>
      </c>
      <c r="H335" s="9" t="s">
        <v>193</v>
      </c>
      <c r="I335" s="9" t="s">
        <v>27</v>
      </c>
      <c r="J335" s="9" t="s">
        <v>39</v>
      </c>
      <c r="K335" s="10">
        <v>46073.0</v>
      </c>
      <c r="L335" s="10">
        <v>46081.0</v>
      </c>
      <c r="M335" s="9">
        <v>8.0</v>
      </c>
      <c r="N335" s="9"/>
      <c r="O335" s="9"/>
    </row>
    <row r="336" ht="15.75" customHeight="1">
      <c r="A336" s="12" t="s">
        <v>115</v>
      </c>
      <c r="B336" s="12" t="s">
        <v>984</v>
      </c>
      <c r="C336" s="12" t="s">
        <v>258</v>
      </c>
      <c r="D336" s="12" t="s">
        <v>191</v>
      </c>
      <c r="E336" s="12" t="s">
        <v>34</v>
      </c>
      <c r="F336" s="12" t="s">
        <v>24</v>
      </c>
      <c r="G336" s="12" t="s">
        <v>985</v>
      </c>
      <c r="H336" s="12" t="s">
        <v>193</v>
      </c>
      <c r="I336" s="12" t="s">
        <v>27</v>
      </c>
      <c r="J336" s="12" t="s">
        <v>48</v>
      </c>
      <c r="K336" s="13">
        <v>46071.0</v>
      </c>
      <c r="L336" s="13"/>
      <c r="M336" s="12"/>
      <c r="N336" s="12"/>
      <c r="O336" s="12"/>
    </row>
    <row r="337" ht="15.75" customHeight="1">
      <c r="A337" s="9" t="s">
        <v>62</v>
      </c>
      <c r="B337" s="9" t="s">
        <v>986</v>
      </c>
      <c r="C337" s="9" t="s">
        <v>898</v>
      </c>
      <c r="D337" s="9" t="s">
        <v>382</v>
      </c>
      <c r="E337" s="9" t="s">
        <v>81</v>
      </c>
      <c r="F337" s="9" t="s">
        <v>24</v>
      </c>
      <c r="G337" s="9" t="s">
        <v>987</v>
      </c>
      <c r="H337" s="9" t="s">
        <v>384</v>
      </c>
      <c r="I337" s="9" t="s">
        <v>38</v>
      </c>
      <c r="J337" s="9" t="s">
        <v>28</v>
      </c>
      <c r="K337" s="10">
        <v>46031.0</v>
      </c>
      <c r="L337" s="10"/>
      <c r="M337" s="9"/>
      <c r="N337" s="9" t="s">
        <v>125</v>
      </c>
      <c r="O337" s="9"/>
    </row>
    <row r="338" ht="15.75" customHeight="1">
      <c r="A338" s="12" t="s">
        <v>40</v>
      </c>
      <c r="B338" s="12" t="s">
        <v>988</v>
      </c>
      <c r="C338" s="12" t="s">
        <v>190</v>
      </c>
      <c r="D338" s="12" t="s">
        <v>219</v>
      </c>
      <c r="E338" s="12" t="s">
        <v>81</v>
      </c>
      <c r="F338" s="12" t="s">
        <v>35</v>
      </c>
      <c r="G338" s="12" t="s">
        <v>989</v>
      </c>
      <c r="H338" s="12" t="s">
        <v>221</v>
      </c>
      <c r="I338" s="12" t="s">
        <v>27</v>
      </c>
      <c r="J338" s="12" t="s">
        <v>48</v>
      </c>
      <c r="K338" s="13">
        <v>46036.0</v>
      </c>
      <c r="L338" s="13"/>
      <c r="M338" s="12"/>
      <c r="N338" s="12" t="s">
        <v>125</v>
      </c>
      <c r="O338" s="12"/>
    </row>
    <row r="339" ht="15.75" customHeight="1">
      <c r="A339" s="9" t="s">
        <v>30</v>
      </c>
      <c r="B339" s="9" t="s">
        <v>990</v>
      </c>
      <c r="C339" s="9" t="s">
        <v>991</v>
      </c>
      <c r="D339" s="9" t="s">
        <v>508</v>
      </c>
      <c r="E339" s="9" t="s">
        <v>81</v>
      </c>
      <c r="F339" s="9" t="s">
        <v>24</v>
      </c>
      <c r="G339" s="9" t="s">
        <v>992</v>
      </c>
      <c r="H339" s="9" t="s">
        <v>510</v>
      </c>
      <c r="I339" s="9" t="s">
        <v>27</v>
      </c>
      <c r="J339" s="9" t="s">
        <v>48</v>
      </c>
      <c r="K339" s="10">
        <v>46057.0</v>
      </c>
      <c r="L339" s="10"/>
      <c r="M339" s="9"/>
      <c r="N339" s="9" t="s">
        <v>29</v>
      </c>
      <c r="O339" s="9"/>
    </row>
    <row r="340" ht="15.75" customHeight="1">
      <c r="A340" s="12" t="s">
        <v>115</v>
      </c>
      <c r="B340" s="12" t="s">
        <v>993</v>
      </c>
      <c r="C340" s="12" t="s">
        <v>949</v>
      </c>
      <c r="D340" s="12" t="s">
        <v>191</v>
      </c>
      <c r="E340" s="12" t="s">
        <v>97</v>
      </c>
      <c r="F340" s="12" t="s">
        <v>35</v>
      </c>
      <c r="G340" s="12" t="s">
        <v>994</v>
      </c>
      <c r="H340" s="12" t="s">
        <v>193</v>
      </c>
      <c r="I340" s="12" t="s">
        <v>27</v>
      </c>
      <c r="J340" s="12" t="s">
        <v>28</v>
      </c>
      <c r="K340" s="13">
        <v>46046.0</v>
      </c>
      <c r="L340" s="13"/>
      <c r="M340" s="12"/>
      <c r="N340" s="12" t="s">
        <v>125</v>
      </c>
      <c r="O340" s="12"/>
    </row>
    <row r="341" ht="15.75" customHeight="1">
      <c r="A341" s="9" t="s">
        <v>30</v>
      </c>
      <c r="B341" s="9" t="s">
        <v>995</v>
      </c>
      <c r="C341" s="9" t="s">
        <v>295</v>
      </c>
      <c r="D341" s="9" t="s">
        <v>196</v>
      </c>
      <c r="E341" s="9" t="s">
        <v>44</v>
      </c>
      <c r="F341" s="9" t="s">
        <v>24</v>
      </c>
      <c r="G341" s="9" t="s">
        <v>996</v>
      </c>
      <c r="H341" s="9" t="s">
        <v>198</v>
      </c>
      <c r="I341" s="9" t="s">
        <v>27</v>
      </c>
      <c r="J341" s="9" t="s">
        <v>39</v>
      </c>
      <c r="K341" s="10">
        <v>46057.0</v>
      </c>
      <c r="L341" s="10">
        <v>46066.0</v>
      </c>
      <c r="M341" s="9">
        <v>9.0</v>
      </c>
      <c r="N341" s="9"/>
      <c r="O341" s="9"/>
    </row>
    <row r="342" ht="15.75" customHeight="1">
      <c r="A342" s="12" t="s">
        <v>19</v>
      </c>
      <c r="B342" s="12" t="s">
        <v>997</v>
      </c>
      <c r="C342" s="12" t="s">
        <v>285</v>
      </c>
      <c r="D342" s="12" t="s">
        <v>836</v>
      </c>
      <c r="E342" s="12" t="s">
        <v>23</v>
      </c>
      <c r="F342" s="12" t="s">
        <v>45</v>
      </c>
      <c r="G342" s="12" t="s">
        <v>998</v>
      </c>
      <c r="H342" s="12" t="s">
        <v>838</v>
      </c>
      <c r="I342" s="12" t="s">
        <v>38</v>
      </c>
      <c r="J342" s="12" t="s">
        <v>39</v>
      </c>
      <c r="K342" s="13">
        <v>46076.0</v>
      </c>
      <c r="L342" s="13">
        <v>46083.0</v>
      </c>
      <c r="M342" s="12">
        <v>7.0</v>
      </c>
      <c r="N342" s="12"/>
      <c r="O342" s="12"/>
    </row>
    <row r="343" ht="15.75" customHeight="1">
      <c r="A343" s="9" t="s">
        <v>19</v>
      </c>
      <c r="B343" s="9" t="s">
        <v>999</v>
      </c>
      <c r="C343" s="9" t="s">
        <v>79</v>
      </c>
      <c r="D343" s="9" t="s">
        <v>102</v>
      </c>
      <c r="E343" s="9" t="s">
        <v>23</v>
      </c>
      <c r="F343" s="9" t="s">
        <v>35</v>
      </c>
      <c r="G343" s="9" t="s">
        <v>1000</v>
      </c>
      <c r="H343" s="9" t="s">
        <v>104</v>
      </c>
      <c r="I343" s="9" t="s">
        <v>38</v>
      </c>
      <c r="J343" s="9" t="s">
        <v>39</v>
      </c>
      <c r="K343" s="10">
        <v>46023.0</v>
      </c>
      <c r="L343" s="10">
        <v>46029.0</v>
      </c>
      <c r="M343" s="9">
        <v>6.0</v>
      </c>
      <c r="N343" s="9"/>
      <c r="O343" s="9"/>
    </row>
    <row r="344" ht="15.75" customHeight="1">
      <c r="A344" s="12" t="s">
        <v>40</v>
      </c>
      <c r="B344" s="12" t="s">
        <v>1001</v>
      </c>
      <c r="C344" s="12" t="s">
        <v>244</v>
      </c>
      <c r="D344" s="12" t="s">
        <v>161</v>
      </c>
      <c r="E344" s="12" t="s">
        <v>44</v>
      </c>
      <c r="F344" s="12" t="s">
        <v>35</v>
      </c>
      <c r="G344" s="12" t="s">
        <v>1002</v>
      </c>
      <c r="H344" s="12" t="s">
        <v>163</v>
      </c>
      <c r="I344" s="12" t="s">
        <v>27</v>
      </c>
      <c r="J344" s="12" t="s">
        <v>28</v>
      </c>
      <c r="K344" s="13">
        <v>46055.0</v>
      </c>
      <c r="L344" s="13"/>
      <c r="M344" s="12"/>
      <c r="N344" s="12" t="s">
        <v>29</v>
      </c>
      <c r="O344" s="12"/>
    </row>
    <row r="345" ht="15.75" customHeight="1">
      <c r="A345" s="9" t="s">
        <v>40</v>
      </c>
      <c r="B345" s="9" t="s">
        <v>1003</v>
      </c>
      <c r="C345" s="9" t="s">
        <v>50</v>
      </c>
      <c r="D345" s="9" t="s">
        <v>395</v>
      </c>
      <c r="E345" s="9" t="s">
        <v>118</v>
      </c>
      <c r="F345" s="9" t="s">
        <v>24</v>
      </c>
      <c r="G345" s="9" t="s">
        <v>1004</v>
      </c>
      <c r="H345" s="9" t="s">
        <v>397</v>
      </c>
      <c r="I345" s="9" t="s">
        <v>38</v>
      </c>
      <c r="J345" s="9" t="s">
        <v>39</v>
      </c>
      <c r="K345" s="10">
        <v>46060.0</v>
      </c>
      <c r="L345" s="10">
        <v>46065.0</v>
      </c>
      <c r="M345" s="9">
        <v>5.0</v>
      </c>
      <c r="N345" s="9"/>
      <c r="O345" s="9"/>
    </row>
    <row r="346" ht="15.75" customHeight="1">
      <c r="A346" s="12" t="s">
        <v>19</v>
      </c>
      <c r="B346" s="12" t="s">
        <v>1005</v>
      </c>
      <c r="C346" s="12" t="s">
        <v>792</v>
      </c>
      <c r="D346" s="12" t="s">
        <v>428</v>
      </c>
      <c r="E346" s="12" t="s">
        <v>186</v>
      </c>
      <c r="F346" s="12" t="s">
        <v>45</v>
      </c>
      <c r="G346" s="12" t="s">
        <v>1006</v>
      </c>
      <c r="H346" s="12" t="s">
        <v>430</v>
      </c>
      <c r="I346" s="12" t="s">
        <v>38</v>
      </c>
      <c r="J346" s="12" t="s">
        <v>28</v>
      </c>
      <c r="K346" s="13">
        <v>46058.0</v>
      </c>
      <c r="L346" s="13"/>
      <c r="M346" s="12"/>
      <c r="N346" s="12" t="s">
        <v>29</v>
      </c>
      <c r="O346" s="12"/>
    </row>
    <row r="347" ht="15.75" customHeight="1">
      <c r="A347" s="9" t="s">
        <v>19</v>
      </c>
      <c r="B347" s="9" t="s">
        <v>1007</v>
      </c>
      <c r="C347" s="9" t="s">
        <v>745</v>
      </c>
      <c r="D347" s="9" t="s">
        <v>734</v>
      </c>
      <c r="E347" s="9" t="s">
        <v>81</v>
      </c>
      <c r="F347" s="9" t="s">
        <v>35</v>
      </c>
      <c r="G347" s="9" t="s">
        <v>1008</v>
      </c>
      <c r="H347" s="9" t="s">
        <v>736</v>
      </c>
      <c r="I347" s="9" t="s">
        <v>27</v>
      </c>
      <c r="J347" s="9" t="s">
        <v>28</v>
      </c>
      <c r="K347" s="10">
        <v>46026.0</v>
      </c>
      <c r="L347" s="10"/>
      <c r="M347" s="9"/>
      <c r="N347" s="9" t="s">
        <v>125</v>
      </c>
      <c r="O347" s="9"/>
    </row>
    <row r="348" ht="15.75" customHeight="1">
      <c r="A348" s="12" t="s">
        <v>115</v>
      </c>
      <c r="B348" s="12" t="s">
        <v>1009</v>
      </c>
      <c r="C348" s="12" t="s">
        <v>641</v>
      </c>
      <c r="D348" s="12" t="s">
        <v>391</v>
      </c>
      <c r="E348" s="12" t="s">
        <v>59</v>
      </c>
      <c r="F348" s="12" t="s">
        <v>24</v>
      </c>
      <c r="G348" s="12" t="s">
        <v>1010</v>
      </c>
      <c r="H348" s="12" t="s">
        <v>393</v>
      </c>
      <c r="I348" s="12" t="s">
        <v>27</v>
      </c>
      <c r="J348" s="12" t="s">
        <v>48</v>
      </c>
      <c r="K348" s="13">
        <v>46051.0</v>
      </c>
      <c r="L348" s="13"/>
      <c r="M348" s="12"/>
      <c r="N348" s="12" t="s">
        <v>29</v>
      </c>
      <c r="O348" s="12"/>
    </row>
    <row r="349" ht="15.75" customHeight="1">
      <c r="A349" s="9" t="s">
        <v>30</v>
      </c>
      <c r="B349" s="9" t="s">
        <v>1011</v>
      </c>
      <c r="C349" s="9" t="s">
        <v>991</v>
      </c>
      <c r="D349" s="9" t="s">
        <v>734</v>
      </c>
      <c r="E349" s="9" t="s">
        <v>71</v>
      </c>
      <c r="F349" s="9" t="s">
        <v>24</v>
      </c>
      <c r="G349" s="9" t="s">
        <v>1012</v>
      </c>
      <c r="H349" s="9" t="s">
        <v>736</v>
      </c>
      <c r="I349" s="9" t="s">
        <v>27</v>
      </c>
      <c r="J349" s="9" t="s">
        <v>28</v>
      </c>
      <c r="K349" s="10">
        <v>46074.0</v>
      </c>
      <c r="L349" s="10"/>
      <c r="M349" s="9"/>
      <c r="N349" s="9"/>
      <c r="O349" s="9"/>
    </row>
    <row r="350" ht="15.75" customHeight="1">
      <c r="A350" s="12" t="s">
        <v>19</v>
      </c>
      <c r="B350" s="12" t="s">
        <v>1013</v>
      </c>
      <c r="C350" s="12" t="s">
        <v>135</v>
      </c>
      <c r="D350" s="12" t="s">
        <v>357</v>
      </c>
      <c r="E350" s="12" t="s">
        <v>44</v>
      </c>
      <c r="F350" s="12" t="s">
        <v>45</v>
      </c>
      <c r="G350" s="12" t="s">
        <v>1014</v>
      </c>
      <c r="H350" s="12" t="s">
        <v>359</v>
      </c>
      <c r="I350" s="12" t="s">
        <v>55</v>
      </c>
      <c r="J350" s="12" t="s">
        <v>39</v>
      </c>
      <c r="K350" s="13">
        <v>46034.0</v>
      </c>
      <c r="L350" s="13">
        <v>46037.0</v>
      </c>
      <c r="M350" s="12">
        <v>3.0</v>
      </c>
      <c r="N350" s="12"/>
      <c r="O350" s="12"/>
    </row>
    <row r="351" ht="15.75" customHeight="1">
      <c r="A351" s="9" t="s">
        <v>19</v>
      </c>
      <c r="B351" s="9" t="s">
        <v>1015</v>
      </c>
      <c r="C351" s="9" t="s">
        <v>175</v>
      </c>
      <c r="D351" s="9" t="s">
        <v>784</v>
      </c>
      <c r="E351" s="9" t="s">
        <v>118</v>
      </c>
      <c r="F351" s="9" t="s">
        <v>24</v>
      </c>
      <c r="G351" s="9" t="s">
        <v>1016</v>
      </c>
      <c r="H351" s="9" t="s">
        <v>786</v>
      </c>
      <c r="I351" s="9" t="s">
        <v>55</v>
      </c>
      <c r="J351" s="9" t="s">
        <v>28</v>
      </c>
      <c r="K351" s="10">
        <v>46044.0</v>
      </c>
      <c r="L351" s="10"/>
      <c r="M351" s="9"/>
      <c r="N351" s="9" t="s">
        <v>125</v>
      </c>
      <c r="O351" s="9"/>
    </row>
    <row r="352" ht="15.75" customHeight="1">
      <c r="A352" s="12" t="s">
        <v>115</v>
      </c>
      <c r="B352" s="12" t="s">
        <v>1017</v>
      </c>
      <c r="C352" s="12" t="s">
        <v>258</v>
      </c>
      <c r="D352" s="12" t="s">
        <v>291</v>
      </c>
      <c r="E352" s="12" t="s">
        <v>59</v>
      </c>
      <c r="F352" s="12" t="s">
        <v>35</v>
      </c>
      <c r="G352" s="12" t="s">
        <v>1018</v>
      </c>
      <c r="H352" s="12" t="s">
        <v>293</v>
      </c>
      <c r="I352" s="12" t="s">
        <v>38</v>
      </c>
      <c r="J352" s="12" t="s">
        <v>48</v>
      </c>
      <c r="K352" s="13">
        <v>46051.0</v>
      </c>
      <c r="L352" s="13"/>
      <c r="M352" s="12"/>
      <c r="N352" s="12" t="s">
        <v>29</v>
      </c>
      <c r="O352" s="12"/>
    </row>
    <row r="353" ht="15.75" customHeight="1">
      <c r="A353" s="9" t="s">
        <v>115</v>
      </c>
      <c r="B353" s="9" t="s">
        <v>1019</v>
      </c>
      <c r="C353" s="9" t="s">
        <v>417</v>
      </c>
      <c r="D353" s="9" t="s">
        <v>281</v>
      </c>
      <c r="E353" s="9" t="s">
        <v>81</v>
      </c>
      <c r="F353" s="9" t="s">
        <v>45</v>
      </c>
      <c r="G353" s="9" t="s">
        <v>1020</v>
      </c>
      <c r="H353" s="9" t="s">
        <v>283</v>
      </c>
      <c r="I353" s="9" t="s">
        <v>27</v>
      </c>
      <c r="J353" s="9" t="s">
        <v>48</v>
      </c>
      <c r="K353" s="10">
        <v>46023.0</v>
      </c>
      <c r="L353" s="10"/>
      <c r="M353" s="9"/>
      <c r="N353" s="9" t="s">
        <v>125</v>
      </c>
      <c r="O353" s="9"/>
    </row>
    <row r="354" ht="15.75" customHeight="1">
      <c r="A354" s="12" t="s">
        <v>40</v>
      </c>
      <c r="B354" s="12" t="s">
        <v>1021</v>
      </c>
      <c r="C354" s="12" t="s">
        <v>69</v>
      </c>
      <c r="D354" s="12" t="s">
        <v>122</v>
      </c>
      <c r="E354" s="12" t="s">
        <v>71</v>
      </c>
      <c r="F354" s="12" t="s">
        <v>24</v>
      </c>
      <c r="G354" s="12" t="s">
        <v>1022</v>
      </c>
      <c r="H354" s="12" t="s">
        <v>124</v>
      </c>
      <c r="I354" s="12" t="s">
        <v>55</v>
      </c>
      <c r="J354" s="12" t="s">
        <v>28</v>
      </c>
      <c r="K354" s="13">
        <v>46051.0</v>
      </c>
      <c r="L354" s="13"/>
      <c r="M354" s="12"/>
      <c r="N354" s="12" t="s">
        <v>29</v>
      </c>
      <c r="O354" s="12"/>
    </row>
    <row r="355" ht="15.75" customHeight="1">
      <c r="A355" s="9" t="s">
        <v>40</v>
      </c>
      <c r="B355" s="9" t="s">
        <v>1023</v>
      </c>
      <c r="C355" s="9" t="s">
        <v>991</v>
      </c>
      <c r="D355" s="9" t="s">
        <v>319</v>
      </c>
      <c r="E355" s="9" t="s">
        <v>81</v>
      </c>
      <c r="F355" s="9" t="s">
        <v>35</v>
      </c>
      <c r="G355" s="9" t="s">
        <v>1024</v>
      </c>
      <c r="H355" s="9" t="s">
        <v>321</v>
      </c>
      <c r="I355" s="9" t="s">
        <v>55</v>
      </c>
      <c r="J355" s="9" t="s">
        <v>48</v>
      </c>
      <c r="K355" s="10">
        <v>46079.0</v>
      </c>
      <c r="L355" s="10"/>
      <c r="M355" s="9"/>
      <c r="N355" s="9"/>
      <c r="O355" s="9"/>
    </row>
    <row r="356" ht="15.75" customHeight="1">
      <c r="A356" s="12" t="s">
        <v>40</v>
      </c>
      <c r="B356" s="12" t="s">
        <v>1025</v>
      </c>
      <c r="C356" s="12" t="s">
        <v>386</v>
      </c>
      <c r="D356" s="12" t="s">
        <v>1026</v>
      </c>
      <c r="E356" s="12" t="s">
        <v>81</v>
      </c>
      <c r="F356" s="12" t="s">
        <v>24</v>
      </c>
      <c r="G356" s="12" t="s">
        <v>1027</v>
      </c>
      <c r="H356" s="12" t="s">
        <v>1028</v>
      </c>
      <c r="I356" s="12" t="s">
        <v>27</v>
      </c>
      <c r="J356" s="12" t="s">
        <v>28</v>
      </c>
      <c r="K356" s="13">
        <v>46048.0</v>
      </c>
      <c r="L356" s="13"/>
      <c r="M356" s="12"/>
      <c r="N356" s="12" t="s">
        <v>125</v>
      </c>
      <c r="O356" s="12"/>
    </row>
    <row r="357" ht="15.75" customHeight="1">
      <c r="A357" s="9" t="s">
        <v>19</v>
      </c>
      <c r="B357" s="9" t="s">
        <v>1029</v>
      </c>
      <c r="C357" s="9" t="s">
        <v>251</v>
      </c>
      <c r="D357" s="9" t="s">
        <v>465</v>
      </c>
      <c r="E357" s="9" t="s">
        <v>97</v>
      </c>
      <c r="F357" s="9" t="s">
        <v>45</v>
      </c>
      <c r="G357" s="9" t="s">
        <v>1030</v>
      </c>
      <c r="H357" s="9" t="s">
        <v>467</v>
      </c>
      <c r="I357" s="9" t="s">
        <v>27</v>
      </c>
      <c r="J357" s="9" t="s">
        <v>48</v>
      </c>
      <c r="K357" s="10">
        <v>46034.0</v>
      </c>
      <c r="L357" s="10"/>
      <c r="M357" s="9"/>
      <c r="N357" s="9" t="s">
        <v>125</v>
      </c>
      <c r="O357" s="9"/>
    </row>
    <row r="358" ht="15.75" customHeight="1">
      <c r="A358" s="12" t="s">
        <v>30</v>
      </c>
      <c r="B358" s="12" t="s">
        <v>1031</v>
      </c>
      <c r="C358" s="12" t="s">
        <v>135</v>
      </c>
      <c r="D358" s="12" t="s">
        <v>179</v>
      </c>
      <c r="E358" s="12" t="s">
        <v>97</v>
      </c>
      <c r="F358" s="12" t="s">
        <v>45</v>
      </c>
      <c r="G358" s="12" t="s">
        <v>1032</v>
      </c>
      <c r="H358" s="12" t="s">
        <v>181</v>
      </c>
      <c r="I358" s="12" t="s">
        <v>38</v>
      </c>
      <c r="J358" s="12" t="s">
        <v>39</v>
      </c>
      <c r="K358" s="13">
        <v>46069.0</v>
      </c>
      <c r="L358" s="13">
        <v>46075.0</v>
      </c>
      <c r="M358" s="12">
        <v>6.0</v>
      </c>
      <c r="N358" s="12"/>
      <c r="O358" s="12"/>
    </row>
    <row r="359" ht="15.75" customHeight="1">
      <c r="A359" s="9" t="s">
        <v>19</v>
      </c>
      <c r="B359" s="9" t="s">
        <v>1033</v>
      </c>
      <c r="C359" s="9" t="s">
        <v>170</v>
      </c>
      <c r="D359" s="9" t="s">
        <v>204</v>
      </c>
      <c r="E359" s="9" t="s">
        <v>59</v>
      </c>
      <c r="F359" s="9" t="s">
        <v>35</v>
      </c>
      <c r="G359" s="9" t="s">
        <v>1034</v>
      </c>
      <c r="H359" s="9" t="s">
        <v>206</v>
      </c>
      <c r="I359" s="9" t="s">
        <v>27</v>
      </c>
      <c r="J359" s="9" t="s">
        <v>39</v>
      </c>
      <c r="K359" s="10">
        <v>46053.0</v>
      </c>
      <c r="L359" s="10">
        <v>46058.0</v>
      </c>
      <c r="M359" s="9">
        <v>5.0</v>
      </c>
      <c r="N359" s="9"/>
      <c r="O359" s="9"/>
    </row>
    <row r="360" ht="15.75" customHeight="1">
      <c r="A360" s="12" t="s">
        <v>19</v>
      </c>
      <c r="B360" s="12" t="s">
        <v>1035</v>
      </c>
      <c r="C360" s="12" t="s">
        <v>745</v>
      </c>
      <c r="D360" s="12" t="s">
        <v>264</v>
      </c>
      <c r="E360" s="12" t="s">
        <v>118</v>
      </c>
      <c r="F360" s="12" t="s">
        <v>35</v>
      </c>
      <c r="G360" s="12" t="s">
        <v>1036</v>
      </c>
      <c r="H360" s="12" t="s">
        <v>266</v>
      </c>
      <c r="I360" s="12" t="s">
        <v>27</v>
      </c>
      <c r="J360" s="12" t="s">
        <v>28</v>
      </c>
      <c r="K360" s="13">
        <v>46031.0</v>
      </c>
      <c r="L360" s="13"/>
      <c r="M360" s="12"/>
      <c r="N360" s="12" t="s">
        <v>125</v>
      </c>
      <c r="O360" s="12"/>
    </row>
    <row r="361" ht="15.75" customHeight="1">
      <c r="A361" s="9" t="s">
        <v>40</v>
      </c>
      <c r="B361" s="9" t="s">
        <v>1037</v>
      </c>
      <c r="C361" s="9" t="s">
        <v>811</v>
      </c>
      <c r="D361" s="9" t="s">
        <v>33</v>
      </c>
      <c r="E361" s="9" t="s">
        <v>52</v>
      </c>
      <c r="F361" s="9" t="s">
        <v>35</v>
      </c>
      <c r="G361" s="9" t="s">
        <v>1038</v>
      </c>
      <c r="H361" s="9" t="s">
        <v>37</v>
      </c>
      <c r="I361" s="9" t="s">
        <v>38</v>
      </c>
      <c r="J361" s="9" t="s">
        <v>48</v>
      </c>
      <c r="K361" s="10">
        <v>46073.0</v>
      </c>
      <c r="L361" s="10"/>
      <c r="M361" s="9"/>
      <c r="N361" s="9"/>
      <c r="O361" s="9"/>
    </row>
    <row r="362" ht="15.75" customHeight="1">
      <c r="A362" s="12" t="s">
        <v>62</v>
      </c>
      <c r="B362" s="12" t="s">
        <v>1039</v>
      </c>
      <c r="C362" s="12" t="s">
        <v>991</v>
      </c>
      <c r="D362" s="12" t="s">
        <v>586</v>
      </c>
      <c r="E362" s="12" t="s">
        <v>59</v>
      </c>
      <c r="F362" s="12" t="s">
        <v>24</v>
      </c>
      <c r="G362" s="12" t="s">
        <v>1040</v>
      </c>
      <c r="H362" s="12" t="s">
        <v>588</v>
      </c>
      <c r="I362" s="12" t="s">
        <v>55</v>
      </c>
      <c r="J362" s="12" t="s">
        <v>48</v>
      </c>
      <c r="K362" s="13">
        <v>46062.0</v>
      </c>
      <c r="L362" s="13"/>
      <c r="M362" s="12"/>
      <c r="N362" s="12" t="s">
        <v>29</v>
      </c>
      <c r="O362" s="12"/>
    </row>
    <row r="363" ht="15.75" customHeight="1">
      <c r="A363" s="9" t="s">
        <v>19</v>
      </c>
      <c r="B363" s="9" t="s">
        <v>1041</v>
      </c>
      <c r="C363" s="9" t="s">
        <v>991</v>
      </c>
      <c r="D363" s="9" t="s">
        <v>136</v>
      </c>
      <c r="E363" s="9" t="s">
        <v>118</v>
      </c>
      <c r="F363" s="9" t="s">
        <v>35</v>
      </c>
      <c r="G363" s="9" t="s">
        <v>1042</v>
      </c>
      <c r="H363" s="9" t="s">
        <v>138</v>
      </c>
      <c r="I363" s="9" t="s">
        <v>38</v>
      </c>
      <c r="J363" s="9" t="s">
        <v>28</v>
      </c>
      <c r="K363" s="10">
        <v>46028.0</v>
      </c>
      <c r="L363" s="10"/>
      <c r="M363" s="9"/>
      <c r="N363" s="9" t="s">
        <v>125</v>
      </c>
      <c r="O363" s="9"/>
    </row>
    <row r="364" ht="15.75" customHeight="1">
      <c r="A364" s="12" t="s">
        <v>115</v>
      </c>
      <c r="B364" s="12" t="s">
        <v>1043</v>
      </c>
      <c r="C364" s="12" t="s">
        <v>323</v>
      </c>
      <c r="D364" s="12" t="s">
        <v>161</v>
      </c>
      <c r="E364" s="12" t="s">
        <v>52</v>
      </c>
      <c r="F364" s="12" t="s">
        <v>45</v>
      </c>
      <c r="G364" s="12" t="s">
        <v>1044</v>
      </c>
      <c r="H364" s="12" t="s">
        <v>163</v>
      </c>
      <c r="I364" s="12" t="s">
        <v>38</v>
      </c>
      <c r="J364" s="12" t="s">
        <v>28</v>
      </c>
      <c r="K364" s="13">
        <v>46044.0</v>
      </c>
      <c r="L364" s="13"/>
      <c r="M364" s="12"/>
      <c r="N364" s="12" t="s">
        <v>125</v>
      </c>
      <c r="O364" s="12"/>
    </row>
    <row r="365" ht="15.75" customHeight="1">
      <c r="A365" s="9" t="s">
        <v>115</v>
      </c>
      <c r="B365" s="9" t="s">
        <v>1045</v>
      </c>
      <c r="C365" s="9" t="s">
        <v>655</v>
      </c>
      <c r="D365" s="9" t="s">
        <v>286</v>
      </c>
      <c r="E365" s="9" t="s">
        <v>59</v>
      </c>
      <c r="F365" s="9" t="s">
        <v>35</v>
      </c>
      <c r="G365" s="9" t="s">
        <v>1046</v>
      </c>
      <c r="H365" s="9" t="s">
        <v>288</v>
      </c>
      <c r="I365" s="9" t="s">
        <v>55</v>
      </c>
      <c r="J365" s="9" t="s">
        <v>39</v>
      </c>
      <c r="K365" s="10">
        <v>46059.0</v>
      </c>
      <c r="L365" s="10">
        <v>46061.0</v>
      </c>
      <c r="M365" s="9">
        <v>2.0</v>
      </c>
      <c r="N365" s="9"/>
      <c r="O365" s="9"/>
    </row>
    <row r="366" ht="15.75" customHeight="1">
      <c r="A366" s="12" t="s">
        <v>40</v>
      </c>
      <c r="B366" s="12" t="s">
        <v>1047</v>
      </c>
      <c r="C366" s="12" t="s">
        <v>42</v>
      </c>
      <c r="D366" s="12" t="s">
        <v>452</v>
      </c>
      <c r="E366" s="12" t="s">
        <v>71</v>
      </c>
      <c r="F366" s="12" t="s">
        <v>45</v>
      </c>
      <c r="G366" s="12" t="s">
        <v>1048</v>
      </c>
      <c r="H366" s="12" t="s">
        <v>454</v>
      </c>
      <c r="I366" s="12" t="s">
        <v>38</v>
      </c>
      <c r="J366" s="12" t="s">
        <v>48</v>
      </c>
      <c r="K366" s="13">
        <v>46022.0</v>
      </c>
      <c r="L366" s="13"/>
      <c r="M366" s="12"/>
      <c r="N366" s="12" t="s">
        <v>125</v>
      </c>
      <c r="O366" s="12"/>
    </row>
    <row r="367" ht="15.75" customHeight="1">
      <c r="A367" s="9" t="s">
        <v>62</v>
      </c>
      <c r="B367" s="9" t="s">
        <v>1049</v>
      </c>
      <c r="C367" s="9" t="s">
        <v>111</v>
      </c>
      <c r="D367" s="9" t="s">
        <v>33</v>
      </c>
      <c r="E367" s="9" t="s">
        <v>34</v>
      </c>
      <c r="F367" s="9" t="s">
        <v>24</v>
      </c>
      <c r="G367" s="9" t="s">
        <v>1050</v>
      </c>
      <c r="H367" s="9" t="s">
        <v>37</v>
      </c>
      <c r="I367" s="9" t="s">
        <v>27</v>
      </c>
      <c r="J367" s="9" t="s">
        <v>48</v>
      </c>
      <c r="K367" s="10">
        <v>46053.0</v>
      </c>
      <c r="L367" s="10"/>
      <c r="M367" s="9"/>
      <c r="N367" s="9" t="s">
        <v>29</v>
      </c>
      <c r="O367" s="9"/>
    </row>
    <row r="368" ht="15.75" customHeight="1">
      <c r="A368" s="12" t="s">
        <v>30</v>
      </c>
      <c r="B368" s="12" t="s">
        <v>1051</v>
      </c>
      <c r="C368" s="12" t="s">
        <v>151</v>
      </c>
      <c r="D368" s="12" t="s">
        <v>272</v>
      </c>
      <c r="E368" s="12" t="s">
        <v>52</v>
      </c>
      <c r="F368" s="12" t="s">
        <v>24</v>
      </c>
      <c r="G368" s="12" t="s">
        <v>1052</v>
      </c>
      <c r="H368" s="12" t="s">
        <v>274</v>
      </c>
      <c r="I368" s="12" t="s">
        <v>27</v>
      </c>
      <c r="J368" s="12" t="s">
        <v>48</v>
      </c>
      <c r="K368" s="13">
        <v>46028.0</v>
      </c>
      <c r="L368" s="13"/>
      <c r="M368" s="12"/>
      <c r="N368" s="12" t="s">
        <v>125</v>
      </c>
      <c r="O368" s="12"/>
    </row>
    <row r="369" ht="15.75" customHeight="1">
      <c r="A369" s="9" t="s">
        <v>40</v>
      </c>
      <c r="B369" s="9" t="s">
        <v>1053</v>
      </c>
      <c r="C369" s="9" t="s">
        <v>32</v>
      </c>
      <c r="D369" s="9" t="s">
        <v>329</v>
      </c>
      <c r="E369" s="9" t="s">
        <v>81</v>
      </c>
      <c r="F369" s="9" t="s">
        <v>45</v>
      </c>
      <c r="G369" s="9" t="s">
        <v>1054</v>
      </c>
      <c r="H369" s="9" t="s">
        <v>331</v>
      </c>
      <c r="I369" s="9" t="s">
        <v>55</v>
      </c>
      <c r="J369" s="9" t="s">
        <v>28</v>
      </c>
      <c r="K369" s="10">
        <v>46027.0</v>
      </c>
      <c r="L369" s="10"/>
      <c r="M369" s="9"/>
      <c r="N369" s="9" t="s">
        <v>125</v>
      </c>
      <c r="O369" s="9"/>
    </row>
    <row r="370" ht="15.75" customHeight="1">
      <c r="A370" s="12" t="s">
        <v>19</v>
      </c>
      <c r="B370" s="12" t="s">
        <v>1055</v>
      </c>
      <c r="C370" s="12" t="s">
        <v>85</v>
      </c>
      <c r="D370" s="12" t="s">
        <v>490</v>
      </c>
      <c r="E370" s="12" t="s">
        <v>81</v>
      </c>
      <c r="F370" s="12" t="s">
        <v>45</v>
      </c>
      <c r="G370" s="12" t="s">
        <v>1056</v>
      </c>
      <c r="H370" s="12" t="s">
        <v>492</v>
      </c>
      <c r="I370" s="12" t="s">
        <v>38</v>
      </c>
      <c r="J370" s="12" t="s">
        <v>39</v>
      </c>
      <c r="K370" s="13">
        <v>46065.0</v>
      </c>
      <c r="L370" s="13">
        <v>46069.0</v>
      </c>
      <c r="M370" s="12">
        <v>4.0</v>
      </c>
      <c r="N370" s="12"/>
      <c r="O370" s="12"/>
    </row>
    <row r="371" ht="15.75" customHeight="1">
      <c r="A371" s="9" t="s">
        <v>62</v>
      </c>
      <c r="B371" s="9" t="s">
        <v>1057</v>
      </c>
      <c r="C371" s="9" t="s">
        <v>363</v>
      </c>
      <c r="D371" s="9" t="s">
        <v>807</v>
      </c>
      <c r="E371" s="9" t="s">
        <v>23</v>
      </c>
      <c r="F371" s="9" t="s">
        <v>35</v>
      </c>
      <c r="G371" s="9" t="s">
        <v>1058</v>
      </c>
      <c r="H371" s="9" t="s">
        <v>809</v>
      </c>
      <c r="I371" s="9" t="s">
        <v>38</v>
      </c>
      <c r="J371" s="9" t="s">
        <v>48</v>
      </c>
      <c r="K371" s="10">
        <v>46032.0</v>
      </c>
      <c r="L371" s="10"/>
      <c r="M371" s="9"/>
      <c r="N371" s="9" t="s">
        <v>125</v>
      </c>
      <c r="O371" s="9"/>
    </row>
    <row r="372" ht="15.75" customHeight="1">
      <c r="A372" s="12" t="s">
        <v>115</v>
      </c>
      <c r="B372" s="12" t="s">
        <v>1059</v>
      </c>
      <c r="C372" s="12" t="s">
        <v>170</v>
      </c>
      <c r="D372" s="12" t="s">
        <v>286</v>
      </c>
      <c r="E372" s="12" t="s">
        <v>118</v>
      </c>
      <c r="F372" s="12" t="s">
        <v>45</v>
      </c>
      <c r="G372" s="12" t="s">
        <v>1060</v>
      </c>
      <c r="H372" s="12" t="s">
        <v>288</v>
      </c>
      <c r="I372" s="12" t="s">
        <v>38</v>
      </c>
      <c r="J372" s="12" t="s">
        <v>39</v>
      </c>
      <c r="K372" s="13">
        <v>46021.0</v>
      </c>
      <c r="L372" s="13">
        <v>46029.0</v>
      </c>
      <c r="M372" s="12">
        <v>8.0</v>
      </c>
      <c r="N372" s="12"/>
      <c r="O372" s="12"/>
    </row>
    <row r="373" ht="15.75" customHeight="1">
      <c r="A373" s="9" t="s">
        <v>115</v>
      </c>
      <c r="B373" s="9" t="s">
        <v>1061</v>
      </c>
      <c r="C373" s="9" t="s">
        <v>106</v>
      </c>
      <c r="D373" s="9" t="s">
        <v>684</v>
      </c>
      <c r="E373" s="9" t="s">
        <v>186</v>
      </c>
      <c r="F373" s="9" t="s">
        <v>24</v>
      </c>
      <c r="G373" s="9" t="s">
        <v>1062</v>
      </c>
      <c r="H373" s="9" t="s">
        <v>686</v>
      </c>
      <c r="I373" s="9" t="s">
        <v>38</v>
      </c>
      <c r="J373" s="9" t="s">
        <v>48</v>
      </c>
      <c r="K373" s="10">
        <v>46022.0</v>
      </c>
      <c r="L373" s="10"/>
      <c r="M373" s="9"/>
      <c r="N373" s="9" t="s">
        <v>125</v>
      </c>
      <c r="O373" s="9"/>
    </row>
    <row r="374" ht="15.75" customHeight="1">
      <c r="A374" s="12" t="s">
        <v>19</v>
      </c>
      <c r="B374" s="12" t="s">
        <v>1063</v>
      </c>
      <c r="C374" s="12" t="s">
        <v>111</v>
      </c>
      <c r="D374" s="12" t="s">
        <v>404</v>
      </c>
      <c r="E374" s="12" t="s">
        <v>23</v>
      </c>
      <c r="F374" s="12" t="s">
        <v>35</v>
      </c>
      <c r="G374" s="12" t="s">
        <v>1064</v>
      </c>
      <c r="H374" s="12" t="s">
        <v>406</v>
      </c>
      <c r="I374" s="12" t="s">
        <v>38</v>
      </c>
      <c r="J374" s="12" t="s">
        <v>48</v>
      </c>
      <c r="K374" s="13">
        <v>46055.0</v>
      </c>
      <c r="L374" s="13"/>
      <c r="M374" s="12"/>
      <c r="N374" s="12" t="s">
        <v>29</v>
      </c>
      <c r="O374" s="12"/>
    </row>
    <row r="375" ht="15.75" customHeight="1">
      <c r="A375" s="9" t="s">
        <v>19</v>
      </c>
      <c r="B375" s="9" t="s">
        <v>1065</v>
      </c>
      <c r="C375" s="9" t="s">
        <v>79</v>
      </c>
      <c r="D375" s="9" t="s">
        <v>230</v>
      </c>
      <c r="E375" s="9" t="s">
        <v>34</v>
      </c>
      <c r="F375" s="9" t="s">
        <v>45</v>
      </c>
      <c r="G375" s="9" t="s">
        <v>1066</v>
      </c>
      <c r="H375" s="9" t="s">
        <v>232</v>
      </c>
      <c r="I375" s="9" t="s">
        <v>55</v>
      </c>
      <c r="J375" s="9" t="s">
        <v>48</v>
      </c>
      <c r="K375" s="10">
        <v>46050.0</v>
      </c>
      <c r="L375" s="10"/>
      <c r="M375" s="9"/>
      <c r="N375" s="9" t="s">
        <v>125</v>
      </c>
      <c r="O375" s="9"/>
    </row>
    <row r="376" ht="15.75" customHeight="1">
      <c r="A376" s="12" t="s">
        <v>115</v>
      </c>
      <c r="B376" s="12" t="s">
        <v>1067</v>
      </c>
      <c r="C376" s="12" t="s">
        <v>898</v>
      </c>
      <c r="D376" s="12" t="s">
        <v>391</v>
      </c>
      <c r="E376" s="12" t="s">
        <v>34</v>
      </c>
      <c r="F376" s="12" t="s">
        <v>24</v>
      </c>
      <c r="G376" s="12" t="s">
        <v>1068</v>
      </c>
      <c r="H376" s="12" t="s">
        <v>393</v>
      </c>
      <c r="I376" s="12" t="s">
        <v>27</v>
      </c>
      <c r="J376" s="12" t="s">
        <v>48</v>
      </c>
      <c r="K376" s="13">
        <v>46021.0</v>
      </c>
      <c r="L376" s="13"/>
      <c r="M376" s="12"/>
      <c r="N376" s="12" t="s">
        <v>125</v>
      </c>
      <c r="O376" s="12"/>
    </row>
    <row r="377" ht="15.75" customHeight="1">
      <c r="A377" s="9" t="s">
        <v>19</v>
      </c>
      <c r="B377" s="9" t="s">
        <v>1069</v>
      </c>
      <c r="C377" s="9" t="s">
        <v>85</v>
      </c>
      <c r="D377" s="9" t="s">
        <v>465</v>
      </c>
      <c r="E377" s="9" t="s">
        <v>71</v>
      </c>
      <c r="F377" s="9" t="s">
        <v>45</v>
      </c>
      <c r="G377" s="9" t="s">
        <v>1070</v>
      </c>
      <c r="H377" s="9" t="s">
        <v>467</v>
      </c>
      <c r="I377" s="9" t="s">
        <v>55</v>
      </c>
      <c r="J377" s="9" t="s">
        <v>48</v>
      </c>
      <c r="K377" s="10">
        <v>46045.0</v>
      </c>
      <c r="L377" s="10"/>
      <c r="M377" s="9"/>
      <c r="N377" s="9" t="s">
        <v>125</v>
      </c>
      <c r="O377" s="9"/>
    </row>
    <row r="378" ht="15.75" customHeight="1">
      <c r="A378" s="12" t="s">
        <v>40</v>
      </c>
      <c r="B378" s="12" t="s">
        <v>1071</v>
      </c>
      <c r="C378" s="12" t="s">
        <v>399</v>
      </c>
      <c r="D378" s="12" t="s">
        <v>277</v>
      </c>
      <c r="E378" s="12" t="s">
        <v>81</v>
      </c>
      <c r="F378" s="12" t="s">
        <v>24</v>
      </c>
      <c r="G378" s="12" t="s">
        <v>1072</v>
      </c>
      <c r="H378" s="12" t="s">
        <v>279</v>
      </c>
      <c r="I378" s="12" t="s">
        <v>55</v>
      </c>
      <c r="J378" s="12" t="s">
        <v>39</v>
      </c>
      <c r="K378" s="13">
        <v>46045.0</v>
      </c>
      <c r="L378" s="13">
        <v>46050.0</v>
      </c>
      <c r="M378" s="12">
        <v>5.0</v>
      </c>
      <c r="N378" s="12"/>
      <c r="O378" s="12"/>
    </row>
    <row r="379" ht="15.75" customHeight="1">
      <c r="A379" s="9" t="s">
        <v>19</v>
      </c>
      <c r="B379" s="9" t="s">
        <v>1073</v>
      </c>
      <c r="C379" s="9" t="s">
        <v>140</v>
      </c>
      <c r="D379" s="9" t="s">
        <v>264</v>
      </c>
      <c r="E379" s="9" t="s">
        <v>71</v>
      </c>
      <c r="F379" s="9" t="s">
        <v>35</v>
      </c>
      <c r="G379" s="9" t="s">
        <v>1074</v>
      </c>
      <c r="H379" s="9" t="s">
        <v>266</v>
      </c>
      <c r="I379" s="9" t="s">
        <v>38</v>
      </c>
      <c r="J379" s="9" t="s">
        <v>28</v>
      </c>
      <c r="K379" s="10">
        <v>46025.0</v>
      </c>
      <c r="L379" s="10"/>
      <c r="M379" s="9"/>
      <c r="N379" s="9" t="s">
        <v>125</v>
      </c>
      <c r="O379" s="9"/>
    </row>
    <row r="380" ht="15.75" customHeight="1">
      <c r="A380" s="12" t="s">
        <v>115</v>
      </c>
      <c r="B380" s="12" t="s">
        <v>1075</v>
      </c>
      <c r="C380" s="12" t="s">
        <v>318</v>
      </c>
      <c r="D380" s="12" t="s">
        <v>516</v>
      </c>
      <c r="E380" s="12" t="s">
        <v>118</v>
      </c>
      <c r="F380" s="12" t="s">
        <v>24</v>
      </c>
      <c r="G380" s="12" t="s">
        <v>1076</v>
      </c>
      <c r="H380" s="12" t="s">
        <v>518</v>
      </c>
      <c r="I380" s="12" t="s">
        <v>55</v>
      </c>
      <c r="J380" s="12" t="s">
        <v>48</v>
      </c>
      <c r="K380" s="13">
        <v>46032.0</v>
      </c>
      <c r="L380" s="13"/>
      <c r="M380" s="12"/>
      <c r="N380" s="12" t="s">
        <v>125</v>
      </c>
      <c r="O380" s="12"/>
    </row>
    <row r="381" ht="15.75" customHeight="1">
      <c r="A381" s="9" t="s">
        <v>40</v>
      </c>
      <c r="B381" s="9" t="s">
        <v>1077</v>
      </c>
      <c r="C381" s="9" t="s">
        <v>323</v>
      </c>
      <c r="D381" s="9" t="s">
        <v>281</v>
      </c>
      <c r="E381" s="9" t="s">
        <v>81</v>
      </c>
      <c r="F381" s="9" t="s">
        <v>45</v>
      </c>
      <c r="G381" s="9" t="s">
        <v>1078</v>
      </c>
      <c r="H381" s="9" t="s">
        <v>283</v>
      </c>
      <c r="I381" s="9" t="s">
        <v>55</v>
      </c>
      <c r="J381" s="9" t="s">
        <v>39</v>
      </c>
      <c r="K381" s="10">
        <v>46038.0</v>
      </c>
      <c r="L381" s="10">
        <v>46040.0</v>
      </c>
      <c r="M381" s="9">
        <v>2.0</v>
      </c>
      <c r="N381" s="9"/>
      <c r="O381" s="9"/>
    </row>
    <row r="382" ht="15.75" customHeight="1">
      <c r="A382" s="12" t="s">
        <v>115</v>
      </c>
      <c r="B382" s="12" t="s">
        <v>1079</v>
      </c>
      <c r="C382" s="12" t="s">
        <v>101</v>
      </c>
      <c r="D382" s="12" t="s">
        <v>223</v>
      </c>
      <c r="E382" s="12" t="s">
        <v>81</v>
      </c>
      <c r="F382" s="12" t="s">
        <v>35</v>
      </c>
      <c r="G382" s="12" t="s">
        <v>1080</v>
      </c>
      <c r="H382" s="12" t="s">
        <v>225</v>
      </c>
      <c r="I382" s="12" t="s">
        <v>38</v>
      </c>
      <c r="J382" s="12" t="s">
        <v>39</v>
      </c>
      <c r="K382" s="13">
        <v>46049.0</v>
      </c>
      <c r="L382" s="13">
        <v>46056.0</v>
      </c>
      <c r="M382" s="12">
        <v>7.0</v>
      </c>
      <c r="N382" s="12"/>
      <c r="O382" s="12"/>
    </row>
    <row r="383" ht="15.75" customHeight="1">
      <c r="A383" s="9" t="s">
        <v>40</v>
      </c>
      <c r="B383" s="9" t="s">
        <v>1081</v>
      </c>
      <c r="C383" s="9" t="s">
        <v>170</v>
      </c>
      <c r="D383" s="9" t="s">
        <v>592</v>
      </c>
      <c r="E383" s="9" t="s">
        <v>59</v>
      </c>
      <c r="F383" s="9" t="s">
        <v>45</v>
      </c>
      <c r="G383" s="9" t="s">
        <v>1082</v>
      </c>
      <c r="H383" s="9" t="s">
        <v>594</v>
      </c>
      <c r="I383" s="9" t="s">
        <v>27</v>
      </c>
      <c r="J383" s="9" t="s">
        <v>48</v>
      </c>
      <c r="K383" s="10">
        <v>46051.0</v>
      </c>
      <c r="L383" s="10"/>
      <c r="M383" s="9"/>
      <c r="N383" s="9" t="s">
        <v>29</v>
      </c>
      <c r="O383" s="9"/>
    </row>
    <row r="384" ht="15.75" customHeight="1">
      <c r="A384" s="12" t="s">
        <v>115</v>
      </c>
      <c r="B384" s="12" t="s">
        <v>1083</v>
      </c>
      <c r="C384" s="12" t="s">
        <v>95</v>
      </c>
      <c r="D384" s="12" t="s">
        <v>400</v>
      </c>
      <c r="E384" s="12" t="s">
        <v>118</v>
      </c>
      <c r="F384" s="12" t="s">
        <v>24</v>
      </c>
      <c r="G384" s="12" t="s">
        <v>1084</v>
      </c>
      <c r="H384" s="12" t="s">
        <v>402</v>
      </c>
      <c r="I384" s="12" t="s">
        <v>55</v>
      </c>
      <c r="J384" s="12" t="s">
        <v>28</v>
      </c>
      <c r="K384" s="13">
        <v>46022.0</v>
      </c>
      <c r="L384" s="13"/>
      <c r="M384" s="12"/>
      <c r="N384" s="12" t="s">
        <v>125</v>
      </c>
      <c r="O384" s="12"/>
    </row>
    <row r="385" ht="15.75" customHeight="1">
      <c r="A385" s="9" t="s">
        <v>115</v>
      </c>
      <c r="B385" s="9" t="s">
        <v>1085</v>
      </c>
      <c r="C385" s="9" t="s">
        <v>203</v>
      </c>
      <c r="D385" s="9" t="s">
        <v>400</v>
      </c>
      <c r="E385" s="9" t="s">
        <v>97</v>
      </c>
      <c r="F385" s="9" t="s">
        <v>24</v>
      </c>
      <c r="G385" s="9" t="s">
        <v>1086</v>
      </c>
      <c r="H385" s="9" t="s">
        <v>402</v>
      </c>
      <c r="I385" s="9" t="s">
        <v>55</v>
      </c>
      <c r="J385" s="9" t="s">
        <v>39</v>
      </c>
      <c r="K385" s="10">
        <v>46060.0</v>
      </c>
      <c r="L385" s="10">
        <v>46065.0</v>
      </c>
      <c r="M385" s="9">
        <v>5.0</v>
      </c>
      <c r="N385" s="9"/>
      <c r="O385" s="9"/>
    </row>
    <row r="386" ht="15.75" customHeight="1">
      <c r="A386" s="12" t="s">
        <v>19</v>
      </c>
      <c r="B386" s="12" t="s">
        <v>1087</v>
      </c>
      <c r="C386" s="12" t="s">
        <v>792</v>
      </c>
      <c r="D386" s="12" t="s">
        <v>586</v>
      </c>
      <c r="E386" s="12" t="s">
        <v>71</v>
      </c>
      <c r="F386" s="12" t="s">
        <v>35</v>
      </c>
      <c r="G386" s="12" t="s">
        <v>1088</v>
      </c>
      <c r="H386" s="12" t="s">
        <v>588</v>
      </c>
      <c r="I386" s="12" t="s">
        <v>38</v>
      </c>
      <c r="J386" s="12" t="s">
        <v>48</v>
      </c>
      <c r="K386" s="13">
        <v>46041.0</v>
      </c>
      <c r="L386" s="13"/>
      <c r="M386" s="12"/>
      <c r="N386" s="12" t="s">
        <v>125</v>
      </c>
      <c r="O386" s="12"/>
    </row>
    <row r="387" ht="15.75" customHeight="1">
      <c r="A387" s="9" t="s">
        <v>19</v>
      </c>
      <c r="B387" s="9" t="s">
        <v>1089</v>
      </c>
      <c r="C387" s="9" t="s">
        <v>648</v>
      </c>
      <c r="D387" s="9" t="s">
        <v>461</v>
      </c>
      <c r="E387" s="9" t="s">
        <v>81</v>
      </c>
      <c r="F387" s="9" t="s">
        <v>35</v>
      </c>
      <c r="G387" s="9" t="s">
        <v>1090</v>
      </c>
      <c r="H387" s="9" t="s">
        <v>463</v>
      </c>
      <c r="I387" s="9" t="s">
        <v>55</v>
      </c>
      <c r="J387" s="9" t="s">
        <v>39</v>
      </c>
      <c r="K387" s="10">
        <v>46060.0</v>
      </c>
      <c r="L387" s="10">
        <v>46064.0</v>
      </c>
      <c r="M387" s="9">
        <v>4.0</v>
      </c>
      <c r="N387" s="9"/>
      <c r="O387" s="9"/>
    </row>
    <row r="388" ht="15.75" customHeight="1">
      <c r="A388" s="12" t="s">
        <v>115</v>
      </c>
      <c r="B388" s="12" t="s">
        <v>1091</v>
      </c>
      <c r="C388" s="12" t="s">
        <v>146</v>
      </c>
      <c r="D388" s="12" t="s">
        <v>1026</v>
      </c>
      <c r="E388" s="12" t="s">
        <v>44</v>
      </c>
      <c r="F388" s="12" t="s">
        <v>45</v>
      </c>
      <c r="G388" s="12" t="s">
        <v>1092</v>
      </c>
      <c r="H388" s="12" t="s">
        <v>1028</v>
      </c>
      <c r="I388" s="12" t="s">
        <v>55</v>
      </c>
      <c r="J388" s="12" t="s">
        <v>39</v>
      </c>
      <c r="K388" s="13">
        <v>46048.0</v>
      </c>
      <c r="L388" s="13">
        <v>46054.0</v>
      </c>
      <c r="M388" s="12">
        <v>6.0</v>
      </c>
      <c r="N388" s="12"/>
      <c r="O388" s="12"/>
    </row>
    <row r="389" ht="15.75" customHeight="1">
      <c r="A389" s="9" t="s">
        <v>30</v>
      </c>
      <c r="B389" s="9" t="s">
        <v>1093</v>
      </c>
      <c r="C389" s="9" t="s">
        <v>69</v>
      </c>
      <c r="D389" s="9" t="s">
        <v>51</v>
      </c>
      <c r="E389" s="9" t="s">
        <v>23</v>
      </c>
      <c r="F389" s="9" t="s">
        <v>35</v>
      </c>
      <c r="G389" s="9" t="s">
        <v>1094</v>
      </c>
      <c r="H389" s="9" t="s">
        <v>54</v>
      </c>
      <c r="I389" s="9" t="s">
        <v>38</v>
      </c>
      <c r="J389" s="9" t="s">
        <v>28</v>
      </c>
      <c r="K389" s="10">
        <v>46081.0</v>
      </c>
      <c r="L389" s="10"/>
      <c r="M389" s="9"/>
      <c r="N389" s="9"/>
      <c r="O389" s="9"/>
    </row>
    <row r="390" ht="15.75" customHeight="1">
      <c r="A390" s="12" t="s">
        <v>62</v>
      </c>
      <c r="B390" s="12" t="s">
        <v>1095</v>
      </c>
      <c r="C390" s="12" t="s">
        <v>354</v>
      </c>
      <c r="D390" s="12" t="s">
        <v>277</v>
      </c>
      <c r="E390" s="12" t="s">
        <v>81</v>
      </c>
      <c r="F390" s="12" t="s">
        <v>45</v>
      </c>
      <c r="G390" s="12" t="s">
        <v>1096</v>
      </c>
      <c r="H390" s="12" t="s">
        <v>279</v>
      </c>
      <c r="I390" s="12" t="s">
        <v>27</v>
      </c>
      <c r="J390" s="12" t="s">
        <v>28</v>
      </c>
      <c r="K390" s="13">
        <v>46050.0</v>
      </c>
      <c r="L390" s="13"/>
      <c r="M390" s="12"/>
      <c r="N390" s="12" t="s">
        <v>125</v>
      </c>
      <c r="O390" s="12"/>
    </row>
    <row r="391" ht="15.75" customHeight="1">
      <c r="A391" s="9" t="s">
        <v>30</v>
      </c>
      <c r="B391" s="9" t="s">
        <v>1097</v>
      </c>
      <c r="C391" s="9" t="s">
        <v>628</v>
      </c>
      <c r="D391" s="9" t="s">
        <v>310</v>
      </c>
      <c r="E391" s="9" t="s">
        <v>186</v>
      </c>
      <c r="F391" s="9" t="s">
        <v>45</v>
      </c>
      <c r="G391" s="9" t="s">
        <v>1098</v>
      </c>
      <c r="H391" s="9" t="s">
        <v>312</v>
      </c>
      <c r="I391" s="9" t="s">
        <v>38</v>
      </c>
      <c r="J391" s="9" t="s">
        <v>48</v>
      </c>
      <c r="K391" s="10">
        <v>46065.0</v>
      </c>
      <c r="L391" s="10"/>
      <c r="M391" s="9"/>
      <c r="N391" s="9" t="s">
        <v>29</v>
      </c>
      <c r="O391" s="9"/>
    </row>
    <row r="392" ht="15.75" customHeight="1">
      <c r="A392" s="12" t="s">
        <v>19</v>
      </c>
      <c r="B392" s="12" t="s">
        <v>1099</v>
      </c>
      <c r="C392" s="12" t="s">
        <v>263</v>
      </c>
      <c r="D392" s="12" t="s">
        <v>230</v>
      </c>
      <c r="E392" s="12" t="s">
        <v>71</v>
      </c>
      <c r="F392" s="12" t="s">
        <v>45</v>
      </c>
      <c r="G392" s="12" t="s">
        <v>1100</v>
      </c>
      <c r="H392" s="12" t="s">
        <v>232</v>
      </c>
      <c r="I392" s="12" t="s">
        <v>27</v>
      </c>
      <c r="J392" s="12" t="s">
        <v>28</v>
      </c>
      <c r="K392" s="13">
        <v>46044.0</v>
      </c>
      <c r="L392" s="13"/>
      <c r="M392" s="12"/>
      <c r="N392" s="12" t="s">
        <v>125</v>
      </c>
      <c r="O392" s="12"/>
    </row>
    <row r="393" ht="15.75" customHeight="1">
      <c r="A393" s="9" t="s">
        <v>19</v>
      </c>
      <c r="B393" s="9" t="s">
        <v>1101</v>
      </c>
      <c r="C393" s="9" t="s">
        <v>85</v>
      </c>
      <c r="D393" s="9" t="s">
        <v>334</v>
      </c>
      <c r="E393" s="9" t="s">
        <v>52</v>
      </c>
      <c r="F393" s="9" t="s">
        <v>24</v>
      </c>
      <c r="G393" s="9" t="s">
        <v>1102</v>
      </c>
      <c r="H393" s="9" t="s">
        <v>336</v>
      </c>
      <c r="I393" s="9" t="s">
        <v>38</v>
      </c>
      <c r="J393" s="9" t="s">
        <v>28</v>
      </c>
      <c r="K393" s="10">
        <v>46075.0</v>
      </c>
      <c r="L393" s="10"/>
      <c r="M393" s="9"/>
      <c r="N393" s="9"/>
      <c r="O393" s="9"/>
    </row>
    <row r="394" ht="15.75" customHeight="1">
      <c r="A394" s="12" t="s">
        <v>62</v>
      </c>
      <c r="B394" s="12" t="s">
        <v>1103</v>
      </c>
      <c r="C394" s="12" t="s">
        <v>520</v>
      </c>
      <c r="D394" s="12" t="s">
        <v>395</v>
      </c>
      <c r="E394" s="12" t="s">
        <v>118</v>
      </c>
      <c r="F394" s="12" t="s">
        <v>24</v>
      </c>
      <c r="G394" s="12" t="s">
        <v>1104</v>
      </c>
      <c r="H394" s="12" t="s">
        <v>397</v>
      </c>
      <c r="I394" s="12" t="s">
        <v>27</v>
      </c>
      <c r="J394" s="12" t="s">
        <v>39</v>
      </c>
      <c r="K394" s="13">
        <v>46046.0</v>
      </c>
      <c r="L394" s="13">
        <v>46050.0</v>
      </c>
      <c r="M394" s="12">
        <v>4.0</v>
      </c>
      <c r="N394" s="12"/>
      <c r="O394" s="12"/>
    </row>
    <row r="395" ht="15.75" customHeight="1">
      <c r="A395" s="9" t="s">
        <v>62</v>
      </c>
      <c r="B395" s="9" t="s">
        <v>1105</v>
      </c>
      <c r="C395" s="9" t="s">
        <v>338</v>
      </c>
      <c r="D395" s="9" t="s">
        <v>223</v>
      </c>
      <c r="E395" s="9" t="s">
        <v>97</v>
      </c>
      <c r="F395" s="9" t="s">
        <v>45</v>
      </c>
      <c r="G395" s="9" t="s">
        <v>1106</v>
      </c>
      <c r="H395" s="9" t="s">
        <v>225</v>
      </c>
      <c r="I395" s="9" t="s">
        <v>38</v>
      </c>
      <c r="J395" s="9" t="s">
        <v>48</v>
      </c>
      <c r="K395" s="10">
        <v>46075.0</v>
      </c>
      <c r="L395" s="10"/>
      <c r="M395" s="9"/>
      <c r="N395" s="9"/>
      <c r="O395" s="9"/>
    </row>
    <row r="396" ht="15.75" customHeight="1">
      <c r="A396" s="12" t="s">
        <v>40</v>
      </c>
      <c r="B396" s="12" t="s">
        <v>1107</v>
      </c>
      <c r="C396" s="12" t="s">
        <v>140</v>
      </c>
      <c r="D396" s="12" t="s">
        <v>245</v>
      </c>
      <c r="E396" s="12" t="s">
        <v>44</v>
      </c>
      <c r="F396" s="12" t="s">
        <v>45</v>
      </c>
      <c r="G396" s="12" t="s">
        <v>1108</v>
      </c>
      <c r="H396" s="12" t="s">
        <v>247</v>
      </c>
      <c r="I396" s="12" t="s">
        <v>27</v>
      </c>
      <c r="J396" s="12" t="s">
        <v>39</v>
      </c>
      <c r="K396" s="13">
        <v>46068.0</v>
      </c>
      <c r="L396" s="13">
        <v>46070.0</v>
      </c>
      <c r="M396" s="12">
        <v>2.0</v>
      </c>
      <c r="N396" s="12"/>
      <c r="O396" s="12"/>
    </row>
    <row r="397" ht="15.75" customHeight="1">
      <c r="A397" s="9" t="s">
        <v>40</v>
      </c>
      <c r="B397" s="9" t="s">
        <v>1109</v>
      </c>
      <c r="C397" s="9" t="s">
        <v>140</v>
      </c>
      <c r="D397" s="9" t="s">
        <v>112</v>
      </c>
      <c r="E397" s="9" t="s">
        <v>34</v>
      </c>
      <c r="F397" s="9" t="s">
        <v>45</v>
      </c>
      <c r="G397" s="9" t="s">
        <v>1110</v>
      </c>
      <c r="H397" s="9" t="s">
        <v>114</v>
      </c>
      <c r="I397" s="9" t="s">
        <v>55</v>
      </c>
      <c r="J397" s="9" t="s">
        <v>39</v>
      </c>
      <c r="K397" s="10">
        <v>46029.0</v>
      </c>
      <c r="L397" s="10">
        <v>46038.0</v>
      </c>
      <c r="M397" s="9">
        <v>9.0</v>
      </c>
      <c r="N397" s="9"/>
      <c r="O397" s="9"/>
    </row>
    <row r="398" ht="15.75" customHeight="1">
      <c r="A398" s="12" t="s">
        <v>40</v>
      </c>
      <c r="B398" s="12" t="s">
        <v>1111</v>
      </c>
      <c r="C398" s="12" t="s">
        <v>738</v>
      </c>
      <c r="D398" s="12" t="s">
        <v>350</v>
      </c>
      <c r="E398" s="12" t="s">
        <v>44</v>
      </c>
      <c r="F398" s="12" t="s">
        <v>35</v>
      </c>
      <c r="G398" s="12" t="s">
        <v>1112</v>
      </c>
      <c r="H398" s="12" t="s">
        <v>352</v>
      </c>
      <c r="I398" s="12" t="s">
        <v>27</v>
      </c>
      <c r="J398" s="12" t="s">
        <v>48</v>
      </c>
      <c r="K398" s="13">
        <v>46056.0</v>
      </c>
      <c r="L398" s="13"/>
      <c r="M398" s="12"/>
      <c r="N398" s="12" t="s">
        <v>29</v>
      </c>
      <c r="O398" s="12"/>
    </row>
    <row r="399" ht="15.75" customHeight="1">
      <c r="A399" s="9" t="s">
        <v>30</v>
      </c>
      <c r="B399" s="9" t="s">
        <v>1113</v>
      </c>
      <c r="C399" s="9" t="s">
        <v>991</v>
      </c>
      <c r="D399" s="9" t="s">
        <v>797</v>
      </c>
      <c r="E399" s="9" t="s">
        <v>81</v>
      </c>
      <c r="F399" s="9" t="s">
        <v>45</v>
      </c>
      <c r="G399" s="9" t="s">
        <v>1114</v>
      </c>
      <c r="H399" s="9" t="s">
        <v>799</v>
      </c>
      <c r="I399" s="9" t="s">
        <v>38</v>
      </c>
      <c r="J399" s="9" t="s">
        <v>48</v>
      </c>
      <c r="K399" s="10">
        <v>46077.0</v>
      </c>
      <c r="L399" s="10"/>
      <c r="M399" s="9"/>
      <c r="N399" s="9"/>
      <c r="O399" s="9"/>
    </row>
    <row r="400" ht="15.75" customHeight="1">
      <c r="A400" s="12" t="s">
        <v>115</v>
      </c>
      <c r="B400" s="12" t="s">
        <v>1115</v>
      </c>
      <c r="C400" s="12" t="s">
        <v>57</v>
      </c>
      <c r="D400" s="12" t="s">
        <v>555</v>
      </c>
      <c r="E400" s="12" t="s">
        <v>186</v>
      </c>
      <c r="F400" s="12" t="s">
        <v>45</v>
      </c>
      <c r="G400" s="12" t="s">
        <v>1116</v>
      </c>
      <c r="H400" s="12" t="s">
        <v>557</v>
      </c>
      <c r="I400" s="12" t="s">
        <v>38</v>
      </c>
      <c r="J400" s="12" t="s">
        <v>39</v>
      </c>
      <c r="K400" s="13">
        <v>46079.0</v>
      </c>
      <c r="L400" s="13">
        <v>46089.0</v>
      </c>
      <c r="M400" s="12">
        <v>10.0</v>
      </c>
      <c r="N400" s="12"/>
      <c r="O400" s="12"/>
    </row>
    <row r="401" ht="15.75" customHeight="1">
      <c r="A401" s="9" t="s">
        <v>30</v>
      </c>
      <c r="B401" s="9" t="s">
        <v>1117</v>
      </c>
      <c r="C401" s="9" t="s">
        <v>151</v>
      </c>
      <c r="D401" s="9" t="s">
        <v>334</v>
      </c>
      <c r="E401" s="9" t="s">
        <v>23</v>
      </c>
      <c r="F401" s="9" t="s">
        <v>35</v>
      </c>
      <c r="G401" s="9" t="s">
        <v>1118</v>
      </c>
      <c r="H401" s="9" t="s">
        <v>336</v>
      </c>
      <c r="I401" s="9" t="s">
        <v>38</v>
      </c>
      <c r="J401" s="9" t="s">
        <v>48</v>
      </c>
      <c r="K401" s="10">
        <v>46064.0</v>
      </c>
      <c r="L401" s="10"/>
      <c r="M401" s="9"/>
      <c r="N401" s="9" t="s">
        <v>29</v>
      </c>
      <c r="O401" s="9"/>
    </row>
    <row r="402" ht="15.75" customHeight="1">
      <c r="A402" s="12" t="s">
        <v>19</v>
      </c>
      <c r="B402" s="12" t="s">
        <v>1119</v>
      </c>
      <c r="C402" s="12" t="s">
        <v>244</v>
      </c>
      <c r="D402" s="12" t="s">
        <v>185</v>
      </c>
      <c r="E402" s="12" t="s">
        <v>97</v>
      </c>
      <c r="F402" s="12" t="s">
        <v>35</v>
      </c>
      <c r="G402" s="12" t="s">
        <v>1120</v>
      </c>
      <c r="H402" s="12" t="s">
        <v>188</v>
      </c>
      <c r="I402" s="12" t="s">
        <v>55</v>
      </c>
      <c r="J402" s="12" t="s">
        <v>39</v>
      </c>
      <c r="K402" s="13">
        <v>46031.0</v>
      </c>
      <c r="L402" s="13">
        <v>46037.0</v>
      </c>
      <c r="M402" s="12">
        <v>6.0</v>
      </c>
      <c r="N402" s="12"/>
      <c r="O402" s="12"/>
    </row>
    <row r="403" ht="15.75" customHeight="1">
      <c r="A403" s="9" t="s">
        <v>30</v>
      </c>
      <c r="B403" s="9" t="s">
        <v>1121</v>
      </c>
      <c r="C403" s="9" t="s">
        <v>90</v>
      </c>
      <c r="D403" s="9" t="s">
        <v>329</v>
      </c>
      <c r="E403" s="9" t="s">
        <v>81</v>
      </c>
      <c r="F403" s="9" t="s">
        <v>24</v>
      </c>
      <c r="G403" s="9" t="s">
        <v>1122</v>
      </c>
      <c r="H403" s="9" t="s">
        <v>331</v>
      </c>
      <c r="I403" s="9" t="s">
        <v>27</v>
      </c>
      <c r="J403" s="9" t="s">
        <v>48</v>
      </c>
      <c r="K403" s="10">
        <v>46071.0</v>
      </c>
      <c r="L403" s="10"/>
      <c r="M403" s="9"/>
      <c r="N403" s="9"/>
      <c r="O403" s="9"/>
    </row>
    <row r="404" ht="15.75" customHeight="1">
      <c r="A404" s="12" t="s">
        <v>40</v>
      </c>
      <c r="B404" s="12" t="s">
        <v>1123</v>
      </c>
      <c r="C404" s="12" t="s">
        <v>85</v>
      </c>
      <c r="D404" s="12" t="s">
        <v>329</v>
      </c>
      <c r="E404" s="12" t="s">
        <v>81</v>
      </c>
      <c r="F404" s="12" t="s">
        <v>24</v>
      </c>
      <c r="G404" s="12" t="s">
        <v>1124</v>
      </c>
      <c r="H404" s="12" t="s">
        <v>331</v>
      </c>
      <c r="I404" s="12" t="s">
        <v>27</v>
      </c>
      <c r="J404" s="12" t="s">
        <v>48</v>
      </c>
      <c r="K404" s="13">
        <v>46026.0</v>
      </c>
      <c r="L404" s="13"/>
      <c r="M404" s="12"/>
      <c r="N404" s="12" t="s">
        <v>125</v>
      </c>
      <c r="O404" s="12"/>
    </row>
    <row r="405" ht="15.75" customHeight="1">
      <c r="A405" s="9" t="s">
        <v>115</v>
      </c>
      <c r="B405" s="9" t="s">
        <v>1125</v>
      </c>
      <c r="C405" s="9" t="s">
        <v>811</v>
      </c>
      <c r="D405" s="9" t="s">
        <v>461</v>
      </c>
      <c r="E405" s="9" t="s">
        <v>34</v>
      </c>
      <c r="F405" s="9" t="s">
        <v>24</v>
      </c>
      <c r="G405" s="9" t="s">
        <v>1126</v>
      </c>
      <c r="H405" s="9" t="s">
        <v>463</v>
      </c>
      <c r="I405" s="9" t="s">
        <v>55</v>
      </c>
      <c r="J405" s="9" t="s">
        <v>48</v>
      </c>
      <c r="K405" s="10">
        <v>46076.0</v>
      </c>
      <c r="L405" s="10"/>
      <c r="M405" s="9"/>
      <c r="N405" s="9"/>
      <c r="O405" s="9"/>
    </row>
    <row r="406" ht="15.75" customHeight="1">
      <c r="A406" s="12" t="s">
        <v>40</v>
      </c>
      <c r="B406" s="12" t="s">
        <v>1127</v>
      </c>
      <c r="C406" s="12" t="s">
        <v>175</v>
      </c>
      <c r="D406" s="12" t="s">
        <v>204</v>
      </c>
      <c r="E406" s="12" t="s">
        <v>52</v>
      </c>
      <c r="F406" s="12" t="s">
        <v>35</v>
      </c>
      <c r="G406" s="12" t="s">
        <v>1128</v>
      </c>
      <c r="H406" s="12" t="s">
        <v>206</v>
      </c>
      <c r="I406" s="12" t="s">
        <v>27</v>
      </c>
      <c r="J406" s="12" t="s">
        <v>28</v>
      </c>
      <c r="K406" s="13">
        <v>46062.0</v>
      </c>
      <c r="L406" s="13"/>
      <c r="M406" s="12"/>
      <c r="N406" s="12" t="s">
        <v>29</v>
      </c>
      <c r="O406" s="12"/>
    </row>
    <row r="407" ht="15.75" customHeight="1">
      <c r="A407" s="9" t="s">
        <v>19</v>
      </c>
      <c r="B407" s="9" t="s">
        <v>1129</v>
      </c>
      <c r="C407" s="9" t="s">
        <v>333</v>
      </c>
      <c r="D407" s="9" t="s">
        <v>377</v>
      </c>
      <c r="E407" s="9" t="s">
        <v>23</v>
      </c>
      <c r="F407" s="9" t="s">
        <v>45</v>
      </c>
      <c r="G407" s="9" t="s">
        <v>1130</v>
      </c>
      <c r="H407" s="9" t="s">
        <v>379</v>
      </c>
      <c r="I407" s="9" t="s">
        <v>27</v>
      </c>
      <c r="J407" s="9" t="s">
        <v>39</v>
      </c>
      <c r="K407" s="10">
        <v>46064.0</v>
      </c>
      <c r="L407" s="10">
        <v>46068.0</v>
      </c>
      <c r="M407" s="9">
        <v>4.0</v>
      </c>
      <c r="N407" s="9"/>
      <c r="O407" s="9"/>
    </row>
    <row r="408" ht="15.75" customHeight="1">
      <c r="A408" s="12" t="s">
        <v>40</v>
      </c>
      <c r="B408" s="12" t="s">
        <v>1131</v>
      </c>
      <c r="C408" s="12" t="s">
        <v>554</v>
      </c>
      <c r="D408" s="12" t="s">
        <v>836</v>
      </c>
      <c r="E408" s="12" t="s">
        <v>34</v>
      </c>
      <c r="F408" s="12" t="s">
        <v>24</v>
      </c>
      <c r="G408" s="12" t="s">
        <v>1132</v>
      </c>
      <c r="H408" s="12" t="s">
        <v>838</v>
      </c>
      <c r="I408" s="12" t="s">
        <v>38</v>
      </c>
      <c r="J408" s="12" t="s">
        <v>39</v>
      </c>
      <c r="K408" s="13">
        <v>46069.0</v>
      </c>
      <c r="L408" s="13">
        <v>46075.0</v>
      </c>
      <c r="M408" s="12">
        <v>6.0</v>
      </c>
      <c r="N408" s="12"/>
      <c r="O408" s="12"/>
    </row>
    <row r="409" ht="15.75" customHeight="1">
      <c r="A409" s="9" t="s">
        <v>19</v>
      </c>
      <c r="B409" s="9" t="s">
        <v>1133</v>
      </c>
      <c r="C409" s="9" t="s">
        <v>328</v>
      </c>
      <c r="D409" s="9" t="s">
        <v>377</v>
      </c>
      <c r="E409" s="9" t="s">
        <v>59</v>
      </c>
      <c r="F409" s="9" t="s">
        <v>24</v>
      </c>
      <c r="G409" s="9" t="s">
        <v>1134</v>
      </c>
      <c r="H409" s="9" t="s">
        <v>379</v>
      </c>
      <c r="I409" s="9" t="s">
        <v>38</v>
      </c>
      <c r="J409" s="9" t="s">
        <v>48</v>
      </c>
      <c r="K409" s="10">
        <v>46060.0</v>
      </c>
      <c r="L409" s="10"/>
      <c r="M409" s="9"/>
      <c r="N409" s="9" t="s">
        <v>29</v>
      </c>
      <c r="O409" s="9"/>
    </row>
    <row r="410" ht="15.75" customHeight="1">
      <c r="A410" s="12" t="s">
        <v>115</v>
      </c>
      <c r="B410" s="12" t="s">
        <v>1135</v>
      </c>
      <c r="C410" s="12" t="s">
        <v>111</v>
      </c>
      <c r="D410" s="12" t="s">
        <v>51</v>
      </c>
      <c r="E410" s="12" t="s">
        <v>23</v>
      </c>
      <c r="F410" s="12" t="s">
        <v>45</v>
      </c>
      <c r="G410" s="12" t="s">
        <v>1136</v>
      </c>
      <c r="H410" s="12" t="s">
        <v>54</v>
      </c>
      <c r="I410" s="12" t="s">
        <v>55</v>
      </c>
      <c r="J410" s="12" t="s">
        <v>48</v>
      </c>
      <c r="K410" s="13">
        <v>46067.0</v>
      </c>
      <c r="L410" s="13"/>
      <c r="M410" s="12"/>
      <c r="N410" s="12"/>
      <c r="O410" s="12"/>
    </row>
    <row r="411" ht="15.75" customHeight="1">
      <c r="A411" s="9" t="s">
        <v>115</v>
      </c>
      <c r="B411" s="9" t="s">
        <v>1137</v>
      </c>
      <c r="C411" s="9" t="s">
        <v>32</v>
      </c>
      <c r="D411" s="9" t="s">
        <v>950</v>
      </c>
      <c r="E411" s="9" t="s">
        <v>23</v>
      </c>
      <c r="F411" s="9" t="s">
        <v>45</v>
      </c>
      <c r="G411" s="9" t="s">
        <v>1138</v>
      </c>
      <c r="H411" s="9" t="s">
        <v>952</v>
      </c>
      <c r="I411" s="9" t="s">
        <v>38</v>
      </c>
      <c r="J411" s="9" t="s">
        <v>28</v>
      </c>
      <c r="K411" s="10">
        <v>46056.0</v>
      </c>
      <c r="L411" s="10"/>
      <c r="M411" s="9"/>
      <c r="N411" s="9" t="s">
        <v>29</v>
      </c>
      <c r="O411" s="9"/>
    </row>
    <row r="412" ht="15.75" customHeight="1">
      <c r="A412" s="12" t="s">
        <v>40</v>
      </c>
      <c r="B412" s="12" t="s">
        <v>1139</v>
      </c>
      <c r="C412" s="12" t="s">
        <v>64</v>
      </c>
      <c r="D412" s="12" t="s">
        <v>219</v>
      </c>
      <c r="E412" s="12" t="s">
        <v>34</v>
      </c>
      <c r="F412" s="12" t="s">
        <v>35</v>
      </c>
      <c r="G412" s="12" t="s">
        <v>1140</v>
      </c>
      <c r="H412" s="12" t="s">
        <v>221</v>
      </c>
      <c r="I412" s="12" t="s">
        <v>38</v>
      </c>
      <c r="J412" s="12" t="s">
        <v>28</v>
      </c>
      <c r="K412" s="13">
        <v>46059.0</v>
      </c>
      <c r="L412" s="13"/>
      <c r="M412" s="12"/>
      <c r="N412" s="12" t="s">
        <v>29</v>
      </c>
      <c r="O412" s="12"/>
    </row>
    <row r="413" ht="15.75" customHeight="1">
      <c r="A413" s="9" t="s">
        <v>19</v>
      </c>
      <c r="B413" s="9" t="s">
        <v>1141</v>
      </c>
      <c r="C413" s="9" t="s">
        <v>655</v>
      </c>
      <c r="D413" s="9" t="s">
        <v>219</v>
      </c>
      <c r="E413" s="9" t="s">
        <v>23</v>
      </c>
      <c r="F413" s="9" t="s">
        <v>35</v>
      </c>
      <c r="G413" s="9" t="s">
        <v>1142</v>
      </c>
      <c r="H413" s="9" t="s">
        <v>221</v>
      </c>
      <c r="I413" s="9" t="s">
        <v>38</v>
      </c>
      <c r="J413" s="9" t="s">
        <v>48</v>
      </c>
      <c r="K413" s="10">
        <v>46074.0</v>
      </c>
      <c r="L413" s="10"/>
      <c r="M413" s="9"/>
      <c r="N413" s="9"/>
      <c r="O413" s="9"/>
    </row>
    <row r="414" ht="15.75" customHeight="1">
      <c r="A414" s="12" t="s">
        <v>30</v>
      </c>
      <c r="B414" s="12" t="s">
        <v>1143</v>
      </c>
      <c r="C414" s="12" t="s">
        <v>338</v>
      </c>
      <c r="D414" s="12" t="s">
        <v>592</v>
      </c>
      <c r="E414" s="12" t="s">
        <v>97</v>
      </c>
      <c r="F414" s="12" t="s">
        <v>35</v>
      </c>
      <c r="G414" s="12" t="s">
        <v>1144</v>
      </c>
      <c r="H414" s="12" t="s">
        <v>594</v>
      </c>
      <c r="I414" s="12" t="s">
        <v>55</v>
      </c>
      <c r="J414" s="12" t="s">
        <v>39</v>
      </c>
      <c r="K414" s="13">
        <v>46080.0</v>
      </c>
      <c r="L414" s="13">
        <v>46090.0</v>
      </c>
      <c r="M414" s="12">
        <v>10.0</v>
      </c>
      <c r="N414" s="12"/>
      <c r="O414" s="12"/>
    </row>
    <row r="415" ht="15.75" customHeight="1">
      <c r="A415" s="9" t="s">
        <v>115</v>
      </c>
      <c r="B415" s="9" t="s">
        <v>1145</v>
      </c>
      <c r="C415" s="9" t="s">
        <v>106</v>
      </c>
      <c r="D415" s="9" t="s">
        <v>96</v>
      </c>
      <c r="E415" s="9" t="s">
        <v>23</v>
      </c>
      <c r="F415" s="9" t="s">
        <v>45</v>
      </c>
      <c r="G415" s="9" t="s">
        <v>1146</v>
      </c>
      <c r="H415" s="9" t="s">
        <v>99</v>
      </c>
      <c r="I415" s="9" t="s">
        <v>27</v>
      </c>
      <c r="J415" s="9" t="s">
        <v>28</v>
      </c>
      <c r="K415" s="10">
        <v>46036.0</v>
      </c>
      <c r="L415" s="10"/>
      <c r="M415" s="9"/>
      <c r="N415" s="9" t="s">
        <v>125</v>
      </c>
      <c r="O415" s="9"/>
    </row>
    <row r="416" ht="15.75" customHeight="1">
      <c r="A416" s="12" t="s">
        <v>19</v>
      </c>
      <c r="B416" s="12" t="s">
        <v>1147</v>
      </c>
      <c r="C416" s="12" t="s">
        <v>343</v>
      </c>
      <c r="D416" s="12" t="s">
        <v>122</v>
      </c>
      <c r="E416" s="12" t="s">
        <v>23</v>
      </c>
      <c r="F416" s="12" t="s">
        <v>45</v>
      </c>
      <c r="G416" s="12" t="s">
        <v>1148</v>
      </c>
      <c r="H416" s="12" t="s">
        <v>124</v>
      </c>
      <c r="I416" s="12" t="s">
        <v>55</v>
      </c>
      <c r="J416" s="12" t="s">
        <v>39</v>
      </c>
      <c r="K416" s="13">
        <v>46034.0</v>
      </c>
      <c r="L416" s="13">
        <v>46039.0</v>
      </c>
      <c r="M416" s="12">
        <v>5.0</v>
      </c>
      <c r="N416" s="12"/>
      <c r="O416" s="12"/>
    </row>
    <row r="417" ht="15.75" customHeight="1">
      <c r="A417" s="9" t="s">
        <v>62</v>
      </c>
      <c r="B417" s="9" t="s">
        <v>1149</v>
      </c>
      <c r="C417" s="9" t="s">
        <v>338</v>
      </c>
      <c r="D417" s="9" t="s">
        <v>428</v>
      </c>
      <c r="E417" s="9" t="s">
        <v>186</v>
      </c>
      <c r="F417" s="9" t="s">
        <v>45</v>
      </c>
      <c r="G417" s="9" t="s">
        <v>1150</v>
      </c>
      <c r="H417" s="9" t="s">
        <v>430</v>
      </c>
      <c r="I417" s="9" t="s">
        <v>55</v>
      </c>
      <c r="J417" s="9" t="s">
        <v>39</v>
      </c>
      <c r="K417" s="10">
        <v>46069.0</v>
      </c>
      <c r="L417" s="10">
        <v>46074.0</v>
      </c>
      <c r="M417" s="9">
        <v>5.0</v>
      </c>
      <c r="N417" s="9"/>
      <c r="O417" s="9"/>
    </row>
    <row r="418" ht="15.75" customHeight="1">
      <c r="A418" s="12" t="s">
        <v>115</v>
      </c>
      <c r="B418" s="12" t="s">
        <v>1151</v>
      </c>
      <c r="C418" s="12" t="s">
        <v>215</v>
      </c>
      <c r="D418" s="12" t="s">
        <v>219</v>
      </c>
      <c r="E418" s="12" t="s">
        <v>34</v>
      </c>
      <c r="F418" s="12" t="s">
        <v>35</v>
      </c>
      <c r="G418" s="12" t="s">
        <v>1152</v>
      </c>
      <c r="H418" s="12" t="s">
        <v>221</v>
      </c>
      <c r="I418" s="12" t="s">
        <v>55</v>
      </c>
      <c r="J418" s="12" t="s">
        <v>48</v>
      </c>
      <c r="K418" s="13">
        <v>46066.0</v>
      </c>
      <c r="L418" s="13"/>
      <c r="M418" s="12"/>
      <c r="N418" s="12"/>
      <c r="O418" s="12"/>
    </row>
    <row r="419" ht="15.75" customHeight="1">
      <c r="A419" s="9" t="s">
        <v>115</v>
      </c>
      <c r="B419" s="9" t="s">
        <v>1153</v>
      </c>
      <c r="C419" s="9" t="s">
        <v>811</v>
      </c>
      <c r="D419" s="9" t="s">
        <v>461</v>
      </c>
      <c r="E419" s="9" t="s">
        <v>34</v>
      </c>
      <c r="F419" s="9" t="s">
        <v>35</v>
      </c>
      <c r="G419" s="9" t="s">
        <v>1154</v>
      </c>
      <c r="H419" s="9" t="s">
        <v>463</v>
      </c>
      <c r="I419" s="9" t="s">
        <v>38</v>
      </c>
      <c r="J419" s="9" t="s">
        <v>39</v>
      </c>
      <c r="K419" s="10">
        <v>46051.0</v>
      </c>
      <c r="L419" s="10">
        <v>46058.0</v>
      </c>
      <c r="M419" s="9">
        <v>7.0</v>
      </c>
      <c r="N419" s="9"/>
      <c r="O419" s="9"/>
    </row>
    <row r="420" ht="15.75" customHeight="1">
      <c r="A420" s="12" t="s">
        <v>62</v>
      </c>
      <c r="B420" s="12" t="s">
        <v>1155</v>
      </c>
      <c r="C420" s="12" t="s">
        <v>117</v>
      </c>
      <c r="D420" s="12" t="s">
        <v>592</v>
      </c>
      <c r="E420" s="12" t="s">
        <v>81</v>
      </c>
      <c r="F420" s="12" t="s">
        <v>45</v>
      </c>
      <c r="G420" s="12" t="s">
        <v>1156</v>
      </c>
      <c r="H420" s="12" t="s">
        <v>594</v>
      </c>
      <c r="I420" s="12" t="s">
        <v>38</v>
      </c>
      <c r="J420" s="12" t="s">
        <v>39</v>
      </c>
      <c r="K420" s="13">
        <v>46063.0</v>
      </c>
      <c r="L420" s="13">
        <v>46072.0</v>
      </c>
      <c r="M420" s="12">
        <v>9.0</v>
      </c>
      <c r="N420" s="12"/>
      <c r="O420" s="12"/>
    </row>
    <row r="421" ht="15.75" customHeight="1">
      <c r="A421" s="9" t="s">
        <v>115</v>
      </c>
      <c r="B421" s="9" t="s">
        <v>1157</v>
      </c>
      <c r="C421" s="9" t="s">
        <v>90</v>
      </c>
      <c r="D421" s="9" t="s">
        <v>784</v>
      </c>
      <c r="E421" s="9" t="s">
        <v>81</v>
      </c>
      <c r="F421" s="9" t="s">
        <v>24</v>
      </c>
      <c r="G421" s="9" t="s">
        <v>1158</v>
      </c>
      <c r="H421" s="9" t="s">
        <v>786</v>
      </c>
      <c r="I421" s="9" t="s">
        <v>55</v>
      </c>
      <c r="J421" s="9" t="s">
        <v>39</v>
      </c>
      <c r="K421" s="10">
        <v>46055.0</v>
      </c>
      <c r="L421" s="10">
        <v>46063.0</v>
      </c>
      <c r="M421" s="9">
        <v>8.0</v>
      </c>
      <c r="N421" s="9"/>
      <c r="O421" s="9"/>
    </row>
    <row r="422" ht="15.75" customHeight="1">
      <c r="A422" s="12" t="s">
        <v>19</v>
      </c>
      <c r="B422" s="12" t="s">
        <v>1159</v>
      </c>
      <c r="C422" s="12" t="s">
        <v>111</v>
      </c>
      <c r="D422" s="12" t="s">
        <v>500</v>
      </c>
      <c r="E422" s="12" t="s">
        <v>59</v>
      </c>
      <c r="F422" s="12" t="s">
        <v>24</v>
      </c>
      <c r="G422" s="12" t="s">
        <v>1160</v>
      </c>
      <c r="H422" s="12" t="s">
        <v>502</v>
      </c>
      <c r="I422" s="12" t="s">
        <v>55</v>
      </c>
      <c r="J422" s="12" t="s">
        <v>28</v>
      </c>
      <c r="K422" s="13">
        <v>46038.0</v>
      </c>
      <c r="L422" s="13"/>
      <c r="M422" s="12"/>
      <c r="N422" s="12" t="s">
        <v>125</v>
      </c>
      <c r="O422" s="12"/>
    </row>
    <row r="423" ht="15.75" customHeight="1">
      <c r="A423" s="9" t="s">
        <v>30</v>
      </c>
      <c r="B423" s="9" t="s">
        <v>1161</v>
      </c>
      <c r="C423" s="9" t="s">
        <v>386</v>
      </c>
      <c r="D423" s="9" t="s">
        <v>191</v>
      </c>
      <c r="E423" s="9" t="s">
        <v>34</v>
      </c>
      <c r="F423" s="9" t="s">
        <v>45</v>
      </c>
      <c r="G423" s="9" t="s">
        <v>1162</v>
      </c>
      <c r="H423" s="9" t="s">
        <v>193</v>
      </c>
      <c r="I423" s="9" t="s">
        <v>38</v>
      </c>
      <c r="J423" s="9" t="s">
        <v>39</v>
      </c>
      <c r="K423" s="10">
        <v>46074.0</v>
      </c>
      <c r="L423" s="10">
        <v>46078.0</v>
      </c>
      <c r="M423" s="9">
        <v>4.0</v>
      </c>
      <c r="N423" s="9"/>
      <c r="O423" s="9"/>
    </row>
    <row r="424" ht="15.75" customHeight="1">
      <c r="A424" s="12" t="s">
        <v>40</v>
      </c>
      <c r="B424" s="12" t="s">
        <v>1163</v>
      </c>
      <c r="C424" s="12" t="s">
        <v>708</v>
      </c>
      <c r="D424" s="12" t="s">
        <v>179</v>
      </c>
      <c r="E424" s="12" t="s">
        <v>118</v>
      </c>
      <c r="F424" s="12" t="s">
        <v>24</v>
      </c>
      <c r="G424" s="12" t="s">
        <v>1164</v>
      </c>
      <c r="H424" s="12" t="s">
        <v>181</v>
      </c>
      <c r="I424" s="12" t="s">
        <v>55</v>
      </c>
      <c r="J424" s="12" t="s">
        <v>28</v>
      </c>
      <c r="K424" s="13">
        <v>46059.0</v>
      </c>
      <c r="L424" s="13"/>
      <c r="M424" s="12"/>
      <c r="N424" s="12" t="s">
        <v>29</v>
      </c>
      <c r="O424" s="12"/>
    </row>
    <row r="425" ht="15.75" customHeight="1">
      <c r="A425" s="9" t="s">
        <v>40</v>
      </c>
      <c r="B425" s="9" t="s">
        <v>1165</v>
      </c>
      <c r="C425" s="9" t="s">
        <v>21</v>
      </c>
      <c r="D425" s="9" t="s">
        <v>185</v>
      </c>
      <c r="E425" s="9" t="s">
        <v>71</v>
      </c>
      <c r="F425" s="9" t="s">
        <v>35</v>
      </c>
      <c r="G425" s="9" t="s">
        <v>1166</v>
      </c>
      <c r="H425" s="9" t="s">
        <v>188</v>
      </c>
      <c r="I425" s="9" t="s">
        <v>27</v>
      </c>
      <c r="J425" s="9" t="s">
        <v>28</v>
      </c>
      <c r="K425" s="10">
        <v>46042.0</v>
      </c>
      <c r="L425" s="10"/>
      <c r="M425" s="9"/>
      <c r="N425" s="9" t="s">
        <v>125</v>
      </c>
      <c r="O425" s="9"/>
    </row>
    <row r="426" ht="15.75" customHeight="1">
      <c r="A426" s="12" t="s">
        <v>40</v>
      </c>
      <c r="B426" s="12" t="s">
        <v>1167</v>
      </c>
      <c r="C426" s="12" t="s">
        <v>258</v>
      </c>
      <c r="D426" s="12" t="s">
        <v>461</v>
      </c>
      <c r="E426" s="12" t="s">
        <v>59</v>
      </c>
      <c r="F426" s="12" t="s">
        <v>24</v>
      </c>
      <c r="G426" s="12" t="s">
        <v>1168</v>
      </c>
      <c r="H426" s="12" t="s">
        <v>463</v>
      </c>
      <c r="I426" s="12" t="s">
        <v>38</v>
      </c>
      <c r="J426" s="12" t="s">
        <v>48</v>
      </c>
      <c r="K426" s="13">
        <v>46045.0</v>
      </c>
      <c r="L426" s="13"/>
      <c r="M426" s="12"/>
      <c r="N426" s="12" t="s">
        <v>125</v>
      </c>
      <c r="O426" s="12"/>
    </row>
    <row r="427" ht="15.75" customHeight="1">
      <c r="A427" s="9" t="s">
        <v>115</v>
      </c>
      <c r="B427" s="9" t="s">
        <v>1169</v>
      </c>
      <c r="C427" s="9" t="s">
        <v>811</v>
      </c>
      <c r="D427" s="9" t="s">
        <v>128</v>
      </c>
      <c r="E427" s="9" t="s">
        <v>97</v>
      </c>
      <c r="F427" s="9" t="s">
        <v>24</v>
      </c>
      <c r="G427" s="9" t="s">
        <v>1170</v>
      </c>
      <c r="H427" s="9" t="s">
        <v>130</v>
      </c>
      <c r="I427" s="9" t="s">
        <v>27</v>
      </c>
      <c r="J427" s="9" t="s">
        <v>39</v>
      </c>
      <c r="K427" s="10">
        <v>46057.0</v>
      </c>
      <c r="L427" s="10">
        <v>46060.0</v>
      </c>
      <c r="M427" s="9">
        <v>3.0</v>
      </c>
      <c r="N427" s="9"/>
      <c r="O427" s="9"/>
    </row>
    <row r="428" ht="15.75" customHeight="1">
      <c r="A428" s="12" t="s">
        <v>19</v>
      </c>
      <c r="B428" s="12" t="s">
        <v>1171</v>
      </c>
      <c r="C428" s="12" t="s">
        <v>898</v>
      </c>
      <c r="D428" s="12" t="s">
        <v>797</v>
      </c>
      <c r="E428" s="12" t="s">
        <v>118</v>
      </c>
      <c r="F428" s="12" t="s">
        <v>45</v>
      </c>
      <c r="G428" s="12" t="s">
        <v>1172</v>
      </c>
      <c r="H428" s="12" t="s">
        <v>799</v>
      </c>
      <c r="I428" s="12" t="s">
        <v>27</v>
      </c>
      <c r="J428" s="12" t="s">
        <v>48</v>
      </c>
      <c r="K428" s="13">
        <v>46074.0</v>
      </c>
      <c r="L428" s="13"/>
      <c r="M428" s="12"/>
      <c r="N428" s="12"/>
      <c r="O428" s="12"/>
    </row>
    <row r="429" ht="15.75" customHeight="1">
      <c r="A429" s="9" t="s">
        <v>40</v>
      </c>
      <c r="B429" s="9" t="s">
        <v>1173</v>
      </c>
      <c r="C429" s="9" t="s">
        <v>551</v>
      </c>
      <c r="D429" s="9" t="s">
        <v>58</v>
      </c>
      <c r="E429" s="9" t="s">
        <v>81</v>
      </c>
      <c r="F429" s="9" t="s">
        <v>24</v>
      </c>
      <c r="G429" s="9" t="s">
        <v>1174</v>
      </c>
      <c r="H429" s="9" t="s">
        <v>61</v>
      </c>
      <c r="I429" s="9" t="s">
        <v>55</v>
      </c>
      <c r="J429" s="9" t="s">
        <v>39</v>
      </c>
      <c r="K429" s="10">
        <v>46053.0</v>
      </c>
      <c r="L429" s="10">
        <v>46058.0</v>
      </c>
      <c r="M429" s="9">
        <v>5.0</v>
      </c>
      <c r="N429" s="9"/>
      <c r="O429" s="9"/>
    </row>
    <row r="430" ht="15.75" customHeight="1">
      <c r="A430" s="12" t="s">
        <v>40</v>
      </c>
      <c r="B430" s="12" t="s">
        <v>1175</v>
      </c>
      <c r="C430" s="12" t="s">
        <v>295</v>
      </c>
      <c r="D430" s="12" t="s">
        <v>329</v>
      </c>
      <c r="E430" s="12" t="s">
        <v>52</v>
      </c>
      <c r="F430" s="12" t="s">
        <v>24</v>
      </c>
      <c r="G430" s="12" t="s">
        <v>1176</v>
      </c>
      <c r="H430" s="12" t="s">
        <v>331</v>
      </c>
      <c r="I430" s="12" t="s">
        <v>27</v>
      </c>
      <c r="J430" s="12" t="s">
        <v>39</v>
      </c>
      <c r="K430" s="13">
        <v>46040.0</v>
      </c>
      <c r="L430" s="13">
        <v>46045.0</v>
      </c>
      <c r="M430" s="12">
        <v>5.0</v>
      </c>
      <c r="N430" s="12"/>
      <c r="O430" s="12"/>
    </row>
    <row r="431" ht="15.75" customHeight="1">
      <c r="A431" s="9" t="s">
        <v>62</v>
      </c>
      <c r="B431" s="9" t="s">
        <v>1177</v>
      </c>
      <c r="C431" s="9" t="s">
        <v>738</v>
      </c>
      <c r="D431" s="9" t="s">
        <v>329</v>
      </c>
      <c r="E431" s="9" t="s">
        <v>23</v>
      </c>
      <c r="F431" s="9" t="s">
        <v>35</v>
      </c>
      <c r="G431" s="9" t="s">
        <v>1178</v>
      </c>
      <c r="H431" s="9" t="s">
        <v>331</v>
      </c>
      <c r="I431" s="9" t="s">
        <v>55</v>
      </c>
      <c r="J431" s="9" t="s">
        <v>28</v>
      </c>
      <c r="K431" s="10">
        <v>46056.0</v>
      </c>
      <c r="L431" s="10"/>
      <c r="M431" s="9"/>
      <c r="N431" s="9" t="s">
        <v>29</v>
      </c>
      <c r="O431" s="9"/>
    </row>
    <row r="432" ht="15.75" customHeight="1">
      <c r="A432" s="12" t="s">
        <v>19</v>
      </c>
      <c r="B432" s="12" t="s">
        <v>1179</v>
      </c>
      <c r="C432" s="12" t="s">
        <v>79</v>
      </c>
      <c r="D432" s="12" t="s">
        <v>147</v>
      </c>
      <c r="E432" s="12" t="s">
        <v>34</v>
      </c>
      <c r="F432" s="12" t="s">
        <v>35</v>
      </c>
      <c r="G432" s="12" t="s">
        <v>1180</v>
      </c>
      <c r="H432" s="12" t="s">
        <v>149</v>
      </c>
      <c r="I432" s="12" t="s">
        <v>38</v>
      </c>
      <c r="J432" s="12" t="s">
        <v>28</v>
      </c>
      <c r="K432" s="13">
        <v>46075.0</v>
      </c>
      <c r="L432" s="13"/>
      <c r="M432" s="12"/>
      <c r="N432" s="12"/>
      <c r="O432" s="12"/>
    </row>
    <row r="433" ht="15.75" customHeight="1">
      <c r="A433" s="9" t="s">
        <v>40</v>
      </c>
      <c r="B433" s="9" t="s">
        <v>1181</v>
      </c>
      <c r="C433" s="9" t="s">
        <v>218</v>
      </c>
      <c r="D433" s="9" t="s">
        <v>807</v>
      </c>
      <c r="E433" s="9" t="s">
        <v>71</v>
      </c>
      <c r="F433" s="9" t="s">
        <v>24</v>
      </c>
      <c r="G433" s="9" t="s">
        <v>1182</v>
      </c>
      <c r="H433" s="9" t="s">
        <v>809</v>
      </c>
      <c r="I433" s="9" t="s">
        <v>27</v>
      </c>
      <c r="J433" s="9" t="s">
        <v>39</v>
      </c>
      <c r="K433" s="10">
        <v>46060.0</v>
      </c>
      <c r="L433" s="10">
        <v>46068.0</v>
      </c>
      <c r="M433" s="9">
        <v>8.0</v>
      </c>
      <c r="N433" s="9"/>
      <c r="O433" s="9"/>
    </row>
    <row r="434" ht="15.75" customHeight="1">
      <c r="A434" s="12" t="s">
        <v>19</v>
      </c>
      <c r="B434" s="12" t="s">
        <v>1183</v>
      </c>
      <c r="C434" s="12" t="s">
        <v>127</v>
      </c>
      <c r="D434" s="12" t="s">
        <v>58</v>
      </c>
      <c r="E434" s="12" t="s">
        <v>44</v>
      </c>
      <c r="F434" s="12" t="s">
        <v>45</v>
      </c>
      <c r="G434" s="12" t="s">
        <v>1184</v>
      </c>
      <c r="H434" s="12" t="s">
        <v>61</v>
      </c>
      <c r="I434" s="12" t="s">
        <v>27</v>
      </c>
      <c r="J434" s="12" t="s">
        <v>39</v>
      </c>
      <c r="K434" s="13">
        <v>46041.0</v>
      </c>
      <c r="L434" s="13">
        <v>46047.0</v>
      </c>
      <c r="M434" s="12">
        <v>6.0</v>
      </c>
      <c r="N434" s="12"/>
      <c r="O434" s="12"/>
    </row>
    <row r="435" ht="15.75" customHeight="1">
      <c r="A435" s="9" t="s">
        <v>19</v>
      </c>
      <c r="B435" s="9" t="s">
        <v>1185</v>
      </c>
      <c r="C435" s="9" t="s">
        <v>458</v>
      </c>
      <c r="D435" s="9" t="s">
        <v>586</v>
      </c>
      <c r="E435" s="9" t="s">
        <v>97</v>
      </c>
      <c r="F435" s="9" t="s">
        <v>24</v>
      </c>
      <c r="G435" s="9" t="s">
        <v>1186</v>
      </c>
      <c r="H435" s="9" t="s">
        <v>588</v>
      </c>
      <c r="I435" s="9" t="s">
        <v>38</v>
      </c>
      <c r="J435" s="9" t="s">
        <v>39</v>
      </c>
      <c r="K435" s="10">
        <v>46076.0</v>
      </c>
      <c r="L435" s="10">
        <v>46081.0</v>
      </c>
      <c r="M435" s="9">
        <v>5.0</v>
      </c>
      <c r="N435" s="9"/>
      <c r="O435" s="9"/>
    </row>
    <row r="436" ht="15.75" customHeight="1">
      <c r="A436" s="12" t="s">
        <v>19</v>
      </c>
      <c r="B436" s="12" t="s">
        <v>1187</v>
      </c>
      <c r="C436" s="12" t="s">
        <v>399</v>
      </c>
      <c r="D436" s="12" t="s">
        <v>565</v>
      </c>
      <c r="E436" s="12" t="s">
        <v>23</v>
      </c>
      <c r="F436" s="12" t="s">
        <v>35</v>
      </c>
      <c r="G436" s="12" t="s">
        <v>1188</v>
      </c>
      <c r="H436" s="12" t="s">
        <v>567</v>
      </c>
      <c r="I436" s="12" t="s">
        <v>55</v>
      </c>
      <c r="J436" s="12" t="s">
        <v>48</v>
      </c>
      <c r="K436" s="13">
        <v>46080.0</v>
      </c>
      <c r="L436" s="13"/>
      <c r="M436" s="12"/>
      <c r="N436" s="12"/>
      <c r="O436" s="12"/>
    </row>
    <row r="437" ht="15.75" customHeight="1">
      <c r="A437" s="9" t="s">
        <v>30</v>
      </c>
      <c r="B437" s="9" t="s">
        <v>1189</v>
      </c>
      <c r="C437" s="9" t="s">
        <v>64</v>
      </c>
      <c r="D437" s="9" t="s">
        <v>395</v>
      </c>
      <c r="E437" s="9" t="s">
        <v>118</v>
      </c>
      <c r="F437" s="9" t="s">
        <v>35</v>
      </c>
      <c r="G437" s="9" t="s">
        <v>1190</v>
      </c>
      <c r="H437" s="9" t="s">
        <v>397</v>
      </c>
      <c r="I437" s="9" t="s">
        <v>55</v>
      </c>
      <c r="J437" s="9" t="s">
        <v>28</v>
      </c>
      <c r="K437" s="10">
        <v>46024.0</v>
      </c>
      <c r="L437" s="10"/>
      <c r="M437" s="9"/>
      <c r="N437" s="9" t="s">
        <v>125</v>
      </c>
      <c r="O437" s="9"/>
    </row>
    <row r="438" ht="15.75" customHeight="1">
      <c r="A438" s="12" t="s">
        <v>62</v>
      </c>
      <c r="B438" s="12" t="s">
        <v>1191</v>
      </c>
      <c r="C438" s="12" t="s">
        <v>263</v>
      </c>
      <c r="D438" s="12" t="s">
        <v>156</v>
      </c>
      <c r="E438" s="12" t="s">
        <v>186</v>
      </c>
      <c r="F438" s="12" t="s">
        <v>24</v>
      </c>
      <c r="G438" s="12" t="s">
        <v>1192</v>
      </c>
      <c r="H438" s="12" t="s">
        <v>158</v>
      </c>
      <c r="I438" s="12" t="s">
        <v>55</v>
      </c>
      <c r="J438" s="12" t="s">
        <v>48</v>
      </c>
      <c r="K438" s="13">
        <v>46043.0</v>
      </c>
      <c r="L438" s="13"/>
      <c r="M438" s="12"/>
      <c r="N438" s="12" t="s">
        <v>125</v>
      </c>
      <c r="O438" s="12"/>
    </row>
    <row r="439" ht="15.75" customHeight="1">
      <c r="A439" s="9" t="s">
        <v>40</v>
      </c>
      <c r="B439" s="9" t="s">
        <v>1193</v>
      </c>
      <c r="C439" s="9" t="s">
        <v>381</v>
      </c>
      <c r="D439" s="9" t="s">
        <v>382</v>
      </c>
      <c r="E439" s="9" t="s">
        <v>81</v>
      </c>
      <c r="F439" s="9" t="s">
        <v>35</v>
      </c>
      <c r="G439" s="9" t="s">
        <v>1194</v>
      </c>
      <c r="H439" s="9" t="s">
        <v>384</v>
      </c>
      <c r="I439" s="9" t="s">
        <v>38</v>
      </c>
      <c r="J439" s="9" t="s">
        <v>48</v>
      </c>
      <c r="K439" s="10">
        <v>46057.0</v>
      </c>
      <c r="L439" s="10"/>
      <c r="M439" s="9"/>
      <c r="N439" s="9" t="s">
        <v>29</v>
      </c>
      <c r="O439" s="9"/>
    </row>
    <row r="440" ht="15.75" customHeight="1">
      <c r="A440" s="12" t="s">
        <v>19</v>
      </c>
      <c r="B440" s="12" t="s">
        <v>1195</v>
      </c>
      <c r="C440" s="12" t="s">
        <v>569</v>
      </c>
      <c r="D440" s="12" t="s">
        <v>185</v>
      </c>
      <c r="E440" s="12" t="s">
        <v>81</v>
      </c>
      <c r="F440" s="12" t="s">
        <v>45</v>
      </c>
      <c r="G440" s="12" t="s">
        <v>1196</v>
      </c>
      <c r="H440" s="12" t="s">
        <v>188</v>
      </c>
      <c r="I440" s="12" t="s">
        <v>27</v>
      </c>
      <c r="J440" s="12" t="s">
        <v>48</v>
      </c>
      <c r="K440" s="13">
        <v>46071.0</v>
      </c>
      <c r="L440" s="13"/>
      <c r="M440" s="12"/>
      <c r="N440" s="12"/>
      <c r="O440" s="12"/>
    </row>
    <row r="441" ht="15.75" customHeight="1">
      <c r="A441" s="9" t="s">
        <v>115</v>
      </c>
      <c r="B441" s="9" t="s">
        <v>1197</v>
      </c>
      <c r="C441" s="9" t="s">
        <v>386</v>
      </c>
      <c r="D441" s="9" t="s">
        <v>310</v>
      </c>
      <c r="E441" s="9" t="s">
        <v>118</v>
      </c>
      <c r="F441" s="9" t="s">
        <v>35</v>
      </c>
      <c r="G441" s="9" t="s">
        <v>1198</v>
      </c>
      <c r="H441" s="9" t="s">
        <v>312</v>
      </c>
      <c r="I441" s="9" t="s">
        <v>55</v>
      </c>
      <c r="J441" s="9" t="s">
        <v>48</v>
      </c>
      <c r="K441" s="10">
        <v>46054.0</v>
      </c>
      <c r="L441" s="10"/>
      <c r="M441" s="9"/>
      <c r="N441" s="9" t="s">
        <v>29</v>
      </c>
      <c r="O441" s="9"/>
    </row>
    <row r="442" ht="15.75" customHeight="1">
      <c r="A442" s="12" t="s">
        <v>62</v>
      </c>
      <c r="B442" s="12" t="s">
        <v>1199</v>
      </c>
      <c r="C442" s="12" t="s">
        <v>160</v>
      </c>
      <c r="D442" s="12" t="s">
        <v>339</v>
      </c>
      <c r="E442" s="12" t="s">
        <v>23</v>
      </c>
      <c r="F442" s="12" t="s">
        <v>45</v>
      </c>
      <c r="G442" s="12" t="s">
        <v>1200</v>
      </c>
      <c r="H442" s="12" t="s">
        <v>341</v>
      </c>
      <c r="I442" s="12" t="s">
        <v>55</v>
      </c>
      <c r="J442" s="12" t="s">
        <v>28</v>
      </c>
      <c r="K442" s="13">
        <v>46025.0</v>
      </c>
      <c r="L442" s="13"/>
      <c r="M442" s="12"/>
      <c r="N442" s="12" t="s">
        <v>125</v>
      </c>
      <c r="O442" s="12"/>
    </row>
    <row r="443" ht="15.75" customHeight="1">
      <c r="A443" s="9" t="s">
        <v>30</v>
      </c>
      <c r="B443" s="9" t="s">
        <v>1201</v>
      </c>
      <c r="C443" s="9" t="s">
        <v>251</v>
      </c>
      <c r="D443" s="9" t="s">
        <v>219</v>
      </c>
      <c r="E443" s="9" t="s">
        <v>71</v>
      </c>
      <c r="F443" s="9" t="s">
        <v>45</v>
      </c>
      <c r="G443" s="9" t="s">
        <v>1202</v>
      </c>
      <c r="H443" s="9" t="s">
        <v>221</v>
      </c>
      <c r="I443" s="9" t="s">
        <v>38</v>
      </c>
      <c r="J443" s="9" t="s">
        <v>28</v>
      </c>
      <c r="K443" s="10">
        <v>46079.0</v>
      </c>
      <c r="L443" s="10"/>
      <c r="M443" s="9"/>
      <c r="N443" s="9"/>
      <c r="O443" s="9"/>
    </row>
    <row r="444" ht="15.75" customHeight="1">
      <c r="A444" s="12" t="s">
        <v>30</v>
      </c>
      <c r="B444" s="12" t="s">
        <v>1203</v>
      </c>
      <c r="C444" s="12" t="s">
        <v>151</v>
      </c>
      <c r="D444" s="12" t="s">
        <v>420</v>
      </c>
      <c r="E444" s="12" t="s">
        <v>44</v>
      </c>
      <c r="F444" s="12" t="s">
        <v>45</v>
      </c>
      <c r="G444" s="12" t="s">
        <v>1204</v>
      </c>
      <c r="H444" s="12" t="s">
        <v>422</v>
      </c>
      <c r="I444" s="12" t="s">
        <v>55</v>
      </c>
      <c r="J444" s="12" t="s">
        <v>48</v>
      </c>
      <c r="K444" s="13">
        <v>46033.0</v>
      </c>
      <c r="L444" s="13"/>
      <c r="M444" s="12"/>
      <c r="N444" s="12" t="s">
        <v>125</v>
      </c>
      <c r="O444" s="12"/>
    </row>
    <row r="445" ht="15.75" customHeight="1">
      <c r="A445" s="9" t="s">
        <v>115</v>
      </c>
      <c r="B445" s="9" t="s">
        <v>1205</v>
      </c>
      <c r="C445" s="9" t="s">
        <v>290</v>
      </c>
      <c r="D445" s="9" t="s">
        <v>559</v>
      </c>
      <c r="E445" s="9" t="s">
        <v>97</v>
      </c>
      <c r="F445" s="9" t="s">
        <v>24</v>
      </c>
      <c r="G445" s="9" t="s">
        <v>1206</v>
      </c>
      <c r="H445" s="9" t="s">
        <v>561</v>
      </c>
      <c r="I445" s="9" t="s">
        <v>55</v>
      </c>
      <c r="J445" s="9" t="s">
        <v>39</v>
      </c>
      <c r="K445" s="10">
        <v>46046.0</v>
      </c>
      <c r="L445" s="10">
        <v>46052.0</v>
      </c>
      <c r="M445" s="9">
        <v>6.0</v>
      </c>
      <c r="N445" s="9"/>
      <c r="O445" s="9"/>
    </row>
    <row r="446" ht="15.75" customHeight="1">
      <c r="A446" s="12" t="s">
        <v>40</v>
      </c>
      <c r="B446" s="12" t="s">
        <v>1207</v>
      </c>
      <c r="C446" s="12" t="s">
        <v>628</v>
      </c>
      <c r="D446" s="12" t="s">
        <v>586</v>
      </c>
      <c r="E446" s="12" t="s">
        <v>81</v>
      </c>
      <c r="F446" s="12" t="s">
        <v>45</v>
      </c>
      <c r="G446" s="12" t="s">
        <v>1208</v>
      </c>
      <c r="H446" s="12" t="s">
        <v>588</v>
      </c>
      <c r="I446" s="12" t="s">
        <v>27</v>
      </c>
      <c r="J446" s="12" t="s">
        <v>39</v>
      </c>
      <c r="K446" s="13">
        <v>46044.0</v>
      </c>
      <c r="L446" s="13">
        <v>46054.0</v>
      </c>
      <c r="M446" s="12">
        <v>10.0</v>
      </c>
      <c r="N446" s="12"/>
      <c r="O446" s="12"/>
    </row>
    <row r="447" ht="15.75" customHeight="1">
      <c r="A447" s="9" t="s">
        <v>19</v>
      </c>
      <c r="B447" s="9" t="s">
        <v>1209</v>
      </c>
      <c r="C447" s="9" t="s">
        <v>127</v>
      </c>
      <c r="D447" s="9" t="s">
        <v>310</v>
      </c>
      <c r="E447" s="9" t="s">
        <v>34</v>
      </c>
      <c r="F447" s="9" t="s">
        <v>35</v>
      </c>
      <c r="G447" s="9" t="s">
        <v>1210</v>
      </c>
      <c r="H447" s="9" t="s">
        <v>312</v>
      </c>
      <c r="I447" s="9" t="s">
        <v>38</v>
      </c>
      <c r="J447" s="9" t="s">
        <v>48</v>
      </c>
      <c r="K447" s="10">
        <v>46046.0</v>
      </c>
      <c r="L447" s="10"/>
      <c r="M447" s="9"/>
      <c r="N447" s="9" t="s">
        <v>125</v>
      </c>
      <c r="O447" s="9"/>
    </row>
    <row r="448" ht="15.75" customHeight="1">
      <c r="A448" s="12" t="s">
        <v>62</v>
      </c>
      <c r="B448" s="12" t="s">
        <v>1211</v>
      </c>
      <c r="C448" s="12" t="s">
        <v>263</v>
      </c>
      <c r="D448" s="12" t="s">
        <v>438</v>
      </c>
      <c r="E448" s="12" t="s">
        <v>23</v>
      </c>
      <c r="F448" s="12" t="s">
        <v>35</v>
      </c>
      <c r="G448" s="12" t="s">
        <v>1212</v>
      </c>
      <c r="H448" s="12" t="s">
        <v>440</v>
      </c>
      <c r="I448" s="12" t="s">
        <v>27</v>
      </c>
      <c r="J448" s="12" t="s">
        <v>48</v>
      </c>
      <c r="K448" s="13">
        <v>46054.0</v>
      </c>
      <c r="L448" s="13"/>
      <c r="M448" s="12"/>
      <c r="N448" s="12" t="s">
        <v>29</v>
      </c>
      <c r="O448" s="12"/>
    </row>
    <row r="449" ht="15.75" customHeight="1">
      <c r="A449" s="9" t="s">
        <v>30</v>
      </c>
      <c r="B449" s="9" t="s">
        <v>1213</v>
      </c>
      <c r="C449" s="9" t="s">
        <v>276</v>
      </c>
      <c r="D449" s="9" t="s">
        <v>391</v>
      </c>
      <c r="E449" s="9" t="s">
        <v>186</v>
      </c>
      <c r="F449" s="9" t="s">
        <v>35</v>
      </c>
      <c r="G449" s="9" t="s">
        <v>1214</v>
      </c>
      <c r="H449" s="9" t="s">
        <v>393</v>
      </c>
      <c r="I449" s="9" t="s">
        <v>27</v>
      </c>
      <c r="J449" s="9" t="s">
        <v>39</v>
      </c>
      <c r="K449" s="10">
        <v>46026.0</v>
      </c>
      <c r="L449" s="10">
        <v>46029.0</v>
      </c>
      <c r="M449" s="9">
        <v>3.0</v>
      </c>
      <c r="N449" s="9"/>
      <c r="O449" s="9"/>
    </row>
    <row r="450" ht="15.75" customHeight="1">
      <c r="A450" s="12" t="s">
        <v>115</v>
      </c>
      <c r="B450" s="12" t="s">
        <v>1215</v>
      </c>
      <c r="C450" s="12" t="s">
        <v>554</v>
      </c>
      <c r="D450" s="12" t="s">
        <v>264</v>
      </c>
      <c r="E450" s="12" t="s">
        <v>118</v>
      </c>
      <c r="F450" s="12" t="s">
        <v>45</v>
      </c>
      <c r="G450" s="12" t="s">
        <v>1216</v>
      </c>
      <c r="H450" s="12" t="s">
        <v>266</v>
      </c>
      <c r="I450" s="12" t="s">
        <v>55</v>
      </c>
      <c r="J450" s="12" t="s">
        <v>39</v>
      </c>
      <c r="K450" s="13">
        <v>46061.0</v>
      </c>
      <c r="L450" s="13">
        <v>46070.0</v>
      </c>
      <c r="M450" s="12">
        <v>9.0</v>
      </c>
      <c r="N450" s="12"/>
      <c r="O450" s="12"/>
    </row>
    <row r="451" ht="15.75" customHeight="1">
      <c r="A451" s="9" t="s">
        <v>30</v>
      </c>
      <c r="B451" s="9" t="s">
        <v>1217</v>
      </c>
      <c r="C451" s="9" t="s">
        <v>628</v>
      </c>
      <c r="D451" s="9" t="s">
        <v>461</v>
      </c>
      <c r="E451" s="9" t="s">
        <v>118</v>
      </c>
      <c r="F451" s="9" t="s">
        <v>45</v>
      </c>
      <c r="G451" s="9" t="s">
        <v>1218</v>
      </c>
      <c r="H451" s="9" t="s">
        <v>463</v>
      </c>
      <c r="I451" s="9" t="s">
        <v>55</v>
      </c>
      <c r="J451" s="9" t="s">
        <v>48</v>
      </c>
      <c r="K451" s="10">
        <v>46080.0</v>
      </c>
      <c r="L451" s="10"/>
      <c r="M451" s="9"/>
      <c r="N451" s="9"/>
      <c r="O451" s="9"/>
    </row>
    <row r="452" ht="15.75" customHeight="1">
      <c r="A452" s="12" t="s">
        <v>115</v>
      </c>
      <c r="B452" s="12" t="s">
        <v>1219</v>
      </c>
      <c r="C452" s="12" t="s">
        <v>738</v>
      </c>
      <c r="D452" s="12" t="s">
        <v>272</v>
      </c>
      <c r="E452" s="12" t="s">
        <v>23</v>
      </c>
      <c r="F452" s="12" t="s">
        <v>35</v>
      </c>
      <c r="G452" s="12" t="s">
        <v>1220</v>
      </c>
      <c r="H452" s="12" t="s">
        <v>274</v>
      </c>
      <c r="I452" s="12" t="s">
        <v>55</v>
      </c>
      <c r="J452" s="12" t="s">
        <v>48</v>
      </c>
      <c r="K452" s="13">
        <v>46022.0</v>
      </c>
      <c r="L452" s="13"/>
      <c r="M452" s="12"/>
      <c r="N452" s="12" t="s">
        <v>125</v>
      </c>
      <c r="O452" s="12"/>
    </row>
    <row r="453" ht="15.75" customHeight="1">
      <c r="A453" s="9" t="s">
        <v>30</v>
      </c>
      <c r="B453" s="9" t="s">
        <v>1221</v>
      </c>
      <c r="C453" s="9" t="s">
        <v>175</v>
      </c>
      <c r="D453" s="9" t="s">
        <v>424</v>
      </c>
      <c r="E453" s="9" t="s">
        <v>44</v>
      </c>
      <c r="F453" s="9" t="s">
        <v>45</v>
      </c>
      <c r="G453" s="9" t="s">
        <v>1222</v>
      </c>
      <c r="H453" s="9" t="s">
        <v>426</v>
      </c>
      <c r="I453" s="9" t="s">
        <v>55</v>
      </c>
      <c r="J453" s="9" t="s">
        <v>39</v>
      </c>
      <c r="K453" s="10">
        <v>46031.0</v>
      </c>
      <c r="L453" s="10">
        <v>46040.0</v>
      </c>
      <c r="M453" s="9">
        <v>9.0</v>
      </c>
      <c r="N453" s="9"/>
      <c r="O453" s="9"/>
    </row>
    <row r="454" ht="15.75" customHeight="1">
      <c r="A454" s="12" t="s">
        <v>62</v>
      </c>
      <c r="B454" s="12" t="s">
        <v>1223</v>
      </c>
      <c r="C454" s="12" t="s">
        <v>90</v>
      </c>
      <c r="D454" s="12" t="s">
        <v>33</v>
      </c>
      <c r="E454" s="12" t="s">
        <v>52</v>
      </c>
      <c r="F454" s="12" t="s">
        <v>24</v>
      </c>
      <c r="G454" s="12" t="s">
        <v>1224</v>
      </c>
      <c r="H454" s="12" t="s">
        <v>37</v>
      </c>
      <c r="I454" s="12" t="s">
        <v>55</v>
      </c>
      <c r="J454" s="12" t="s">
        <v>48</v>
      </c>
      <c r="K454" s="13">
        <v>46074.0</v>
      </c>
      <c r="L454" s="13"/>
      <c r="M454" s="12"/>
      <c r="N454" s="12"/>
      <c r="O454" s="12"/>
    </row>
    <row r="455" ht="15.75" customHeight="1">
      <c r="A455" s="9" t="s">
        <v>40</v>
      </c>
      <c r="B455" s="9" t="s">
        <v>1225</v>
      </c>
      <c r="C455" s="9" t="s">
        <v>399</v>
      </c>
      <c r="D455" s="9" t="s">
        <v>33</v>
      </c>
      <c r="E455" s="9" t="s">
        <v>59</v>
      </c>
      <c r="F455" s="9" t="s">
        <v>24</v>
      </c>
      <c r="G455" s="9" t="s">
        <v>1226</v>
      </c>
      <c r="H455" s="9" t="s">
        <v>37</v>
      </c>
      <c r="I455" s="9" t="s">
        <v>38</v>
      </c>
      <c r="J455" s="9" t="s">
        <v>48</v>
      </c>
      <c r="K455" s="10">
        <v>46070.0</v>
      </c>
      <c r="L455" s="10"/>
      <c r="M455" s="9"/>
      <c r="N455" s="9"/>
      <c r="O455" s="9"/>
    </row>
    <row r="456" ht="15.75" customHeight="1">
      <c r="A456" s="12" t="s">
        <v>115</v>
      </c>
      <c r="B456" s="12" t="s">
        <v>1227</v>
      </c>
      <c r="C456" s="12" t="s">
        <v>50</v>
      </c>
      <c r="D456" s="12" t="s">
        <v>346</v>
      </c>
      <c r="E456" s="12" t="s">
        <v>23</v>
      </c>
      <c r="F456" s="12" t="s">
        <v>35</v>
      </c>
      <c r="G456" s="12" t="s">
        <v>1228</v>
      </c>
      <c r="H456" s="12" t="s">
        <v>348</v>
      </c>
      <c r="I456" s="12" t="s">
        <v>55</v>
      </c>
      <c r="J456" s="12" t="s">
        <v>48</v>
      </c>
      <c r="K456" s="13">
        <v>46026.0</v>
      </c>
      <c r="L456" s="13"/>
      <c r="M456" s="12"/>
      <c r="N456" s="12" t="s">
        <v>125</v>
      </c>
      <c r="O456" s="12"/>
    </row>
    <row r="457" ht="15.75" customHeight="1">
      <c r="A457" s="9" t="s">
        <v>115</v>
      </c>
      <c r="B457" s="9" t="s">
        <v>1229</v>
      </c>
      <c r="C457" s="9" t="s">
        <v>368</v>
      </c>
      <c r="D457" s="9" t="s">
        <v>350</v>
      </c>
      <c r="E457" s="9" t="s">
        <v>118</v>
      </c>
      <c r="F457" s="9" t="s">
        <v>24</v>
      </c>
      <c r="G457" s="9" t="s">
        <v>1230</v>
      </c>
      <c r="H457" s="9" t="s">
        <v>352</v>
      </c>
      <c r="I457" s="9" t="s">
        <v>55</v>
      </c>
      <c r="J457" s="9" t="s">
        <v>48</v>
      </c>
      <c r="K457" s="10">
        <v>46071.0</v>
      </c>
      <c r="L457" s="10"/>
      <c r="M457" s="9"/>
      <c r="N457" s="9"/>
      <c r="O457" s="9"/>
    </row>
    <row r="458" ht="15.75" customHeight="1">
      <c r="A458" s="12" t="s">
        <v>62</v>
      </c>
      <c r="B458" s="12" t="s">
        <v>1231</v>
      </c>
      <c r="C458" s="12" t="s">
        <v>738</v>
      </c>
      <c r="D458" s="12" t="s">
        <v>147</v>
      </c>
      <c r="E458" s="12" t="s">
        <v>118</v>
      </c>
      <c r="F458" s="12" t="s">
        <v>24</v>
      </c>
      <c r="G458" s="12" t="s">
        <v>1232</v>
      </c>
      <c r="H458" s="12" t="s">
        <v>149</v>
      </c>
      <c r="I458" s="12" t="s">
        <v>55</v>
      </c>
      <c r="J458" s="12" t="s">
        <v>48</v>
      </c>
      <c r="K458" s="13">
        <v>46045.0</v>
      </c>
      <c r="L458" s="13"/>
      <c r="M458" s="12"/>
      <c r="N458" s="12" t="s">
        <v>125</v>
      </c>
      <c r="O458" s="12"/>
    </row>
    <row r="459" ht="15.75" customHeight="1">
      <c r="A459" s="9" t="s">
        <v>19</v>
      </c>
      <c r="B459" s="9" t="s">
        <v>1233</v>
      </c>
      <c r="C459" s="9" t="s">
        <v>244</v>
      </c>
      <c r="D459" s="9" t="s">
        <v>461</v>
      </c>
      <c r="E459" s="9" t="s">
        <v>34</v>
      </c>
      <c r="F459" s="9" t="s">
        <v>45</v>
      </c>
      <c r="G459" s="9" t="s">
        <v>1234</v>
      </c>
      <c r="H459" s="9" t="s">
        <v>463</v>
      </c>
      <c r="I459" s="9" t="s">
        <v>27</v>
      </c>
      <c r="J459" s="9" t="s">
        <v>28</v>
      </c>
      <c r="K459" s="10">
        <v>46073.0</v>
      </c>
      <c r="L459" s="10"/>
      <c r="M459" s="9"/>
      <c r="N459" s="9"/>
      <c r="O459" s="9"/>
    </row>
    <row r="460" ht="15.75" customHeight="1">
      <c r="A460" s="12" t="s">
        <v>115</v>
      </c>
      <c r="B460" s="12" t="s">
        <v>1235</v>
      </c>
      <c r="C460" s="12" t="s">
        <v>140</v>
      </c>
      <c r="D460" s="12" t="s">
        <v>592</v>
      </c>
      <c r="E460" s="12" t="s">
        <v>118</v>
      </c>
      <c r="F460" s="12" t="s">
        <v>24</v>
      </c>
      <c r="G460" s="12" t="s">
        <v>1236</v>
      </c>
      <c r="H460" s="12" t="s">
        <v>594</v>
      </c>
      <c r="I460" s="12" t="s">
        <v>55</v>
      </c>
      <c r="J460" s="12" t="s">
        <v>28</v>
      </c>
      <c r="K460" s="13">
        <v>46039.0</v>
      </c>
      <c r="L460" s="13"/>
      <c r="M460" s="12"/>
      <c r="N460" s="12" t="s">
        <v>125</v>
      </c>
      <c r="O460" s="12"/>
    </row>
    <row r="461" ht="15.75" customHeight="1">
      <c r="A461" s="9" t="s">
        <v>40</v>
      </c>
      <c r="B461" s="9" t="s">
        <v>1237</v>
      </c>
      <c r="C461" s="9" t="s">
        <v>328</v>
      </c>
      <c r="D461" s="9" t="s">
        <v>684</v>
      </c>
      <c r="E461" s="9" t="s">
        <v>97</v>
      </c>
      <c r="F461" s="9" t="s">
        <v>35</v>
      </c>
      <c r="G461" s="9" t="s">
        <v>1238</v>
      </c>
      <c r="H461" s="9" t="s">
        <v>686</v>
      </c>
      <c r="I461" s="9" t="s">
        <v>55</v>
      </c>
      <c r="J461" s="9" t="s">
        <v>48</v>
      </c>
      <c r="K461" s="10">
        <v>46071.0</v>
      </c>
      <c r="L461" s="10"/>
      <c r="M461" s="9"/>
      <c r="N461" s="9"/>
      <c r="O461" s="9"/>
    </row>
    <row r="462" ht="15.75" customHeight="1">
      <c r="A462" s="12" t="s">
        <v>30</v>
      </c>
      <c r="B462" s="12" t="s">
        <v>1239</v>
      </c>
      <c r="C462" s="12" t="s">
        <v>898</v>
      </c>
      <c r="D462" s="12" t="s">
        <v>122</v>
      </c>
      <c r="E462" s="12" t="s">
        <v>118</v>
      </c>
      <c r="F462" s="12" t="s">
        <v>45</v>
      </c>
      <c r="G462" s="12" t="s">
        <v>1240</v>
      </c>
      <c r="H462" s="12" t="s">
        <v>124</v>
      </c>
      <c r="I462" s="12" t="s">
        <v>27</v>
      </c>
      <c r="J462" s="12" t="s">
        <v>39</v>
      </c>
      <c r="K462" s="13">
        <v>46024.0</v>
      </c>
      <c r="L462" s="13">
        <v>46033.0</v>
      </c>
      <c r="M462" s="12">
        <v>9.0</v>
      </c>
      <c r="N462" s="12"/>
      <c r="O462" s="12"/>
    </row>
    <row r="463" ht="15.75" customHeight="1">
      <c r="A463" s="9" t="s">
        <v>40</v>
      </c>
      <c r="B463" s="9" t="s">
        <v>1241</v>
      </c>
      <c r="C463" s="9" t="s">
        <v>64</v>
      </c>
      <c r="D463" s="9" t="s">
        <v>382</v>
      </c>
      <c r="E463" s="9" t="s">
        <v>23</v>
      </c>
      <c r="F463" s="9" t="s">
        <v>45</v>
      </c>
      <c r="G463" s="9" t="s">
        <v>1242</v>
      </c>
      <c r="H463" s="9" t="s">
        <v>384</v>
      </c>
      <c r="I463" s="9" t="s">
        <v>27</v>
      </c>
      <c r="J463" s="9" t="s">
        <v>39</v>
      </c>
      <c r="K463" s="10">
        <v>46065.0</v>
      </c>
      <c r="L463" s="10">
        <v>46074.0</v>
      </c>
      <c r="M463" s="9">
        <v>9.0</v>
      </c>
      <c r="N463" s="9"/>
      <c r="O463" s="9"/>
    </row>
    <row r="464" ht="15.75" customHeight="1">
      <c r="A464" s="12" t="s">
        <v>62</v>
      </c>
      <c r="B464" s="12" t="s">
        <v>1243</v>
      </c>
      <c r="C464" s="12" t="s">
        <v>244</v>
      </c>
      <c r="D464" s="12" t="s">
        <v>395</v>
      </c>
      <c r="E464" s="12" t="s">
        <v>59</v>
      </c>
      <c r="F464" s="12" t="s">
        <v>45</v>
      </c>
      <c r="G464" s="12" t="s">
        <v>1244</v>
      </c>
      <c r="H464" s="12" t="s">
        <v>397</v>
      </c>
      <c r="I464" s="12" t="s">
        <v>27</v>
      </c>
      <c r="J464" s="12" t="s">
        <v>39</v>
      </c>
      <c r="K464" s="13">
        <v>46049.0</v>
      </c>
      <c r="L464" s="13">
        <v>46059.0</v>
      </c>
      <c r="M464" s="12">
        <v>10.0</v>
      </c>
      <c r="N464" s="12"/>
      <c r="O464" s="12"/>
    </row>
    <row r="465" ht="15.75" customHeight="1">
      <c r="A465" s="9" t="s">
        <v>62</v>
      </c>
      <c r="B465" s="9" t="s">
        <v>1245</v>
      </c>
      <c r="C465" s="9" t="s">
        <v>64</v>
      </c>
      <c r="D465" s="9" t="s">
        <v>382</v>
      </c>
      <c r="E465" s="9" t="s">
        <v>34</v>
      </c>
      <c r="F465" s="9" t="s">
        <v>35</v>
      </c>
      <c r="G465" s="9" t="s">
        <v>1246</v>
      </c>
      <c r="H465" s="9" t="s">
        <v>384</v>
      </c>
      <c r="I465" s="9" t="s">
        <v>38</v>
      </c>
      <c r="J465" s="9" t="s">
        <v>28</v>
      </c>
      <c r="K465" s="10">
        <v>46062.0</v>
      </c>
      <c r="L465" s="10"/>
      <c r="M465" s="9"/>
      <c r="N465" s="9" t="s">
        <v>29</v>
      </c>
      <c r="O465" s="9"/>
    </row>
    <row r="466" ht="15.75" customHeight="1">
      <c r="A466" s="12" t="s">
        <v>30</v>
      </c>
      <c r="B466" s="12" t="s">
        <v>1247</v>
      </c>
      <c r="C466" s="12" t="s">
        <v>323</v>
      </c>
      <c r="D466" s="12" t="s">
        <v>272</v>
      </c>
      <c r="E466" s="12" t="s">
        <v>118</v>
      </c>
      <c r="F466" s="12" t="s">
        <v>24</v>
      </c>
      <c r="G466" s="12" t="s">
        <v>1248</v>
      </c>
      <c r="H466" s="12" t="s">
        <v>274</v>
      </c>
      <c r="I466" s="12" t="s">
        <v>55</v>
      </c>
      <c r="J466" s="12" t="s">
        <v>28</v>
      </c>
      <c r="K466" s="13">
        <v>46030.0</v>
      </c>
      <c r="L466" s="13"/>
      <c r="M466" s="12"/>
      <c r="N466" s="12" t="s">
        <v>125</v>
      </c>
      <c r="O466" s="12"/>
    </row>
    <row r="467" ht="15.75" customHeight="1">
      <c r="A467" s="9" t="s">
        <v>115</v>
      </c>
      <c r="B467" s="9" t="s">
        <v>1249</v>
      </c>
      <c r="C467" s="9" t="s">
        <v>111</v>
      </c>
      <c r="D467" s="9" t="s">
        <v>86</v>
      </c>
      <c r="E467" s="9" t="s">
        <v>186</v>
      </c>
      <c r="F467" s="9" t="s">
        <v>45</v>
      </c>
      <c r="G467" s="9" t="s">
        <v>1250</v>
      </c>
      <c r="H467" s="9" t="s">
        <v>88</v>
      </c>
      <c r="I467" s="9" t="s">
        <v>27</v>
      </c>
      <c r="J467" s="9" t="s">
        <v>48</v>
      </c>
      <c r="K467" s="10">
        <v>46039.0</v>
      </c>
      <c r="L467" s="10"/>
      <c r="M467" s="9"/>
      <c r="N467" s="9" t="s">
        <v>125</v>
      </c>
      <c r="O467" s="9"/>
    </row>
    <row r="468" ht="15.75" customHeight="1">
      <c r="A468" s="12" t="s">
        <v>30</v>
      </c>
      <c r="B468" s="12" t="s">
        <v>1251</v>
      </c>
      <c r="C468" s="12" t="s">
        <v>489</v>
      </c>
      <c r="D468" s="12" t="s">
        <v>147</v>
      </c>
      <c r="E468" s="12" t="s">
        <v>23</v>
      </c>
      <c r="F468" s="12" t="s">
        <v>35</v>
      </c>
      <c r="G468" s="12" t="s">
        <v>1252</v>
      </c>
      <c r="H468" s="12" t="s">
        <v>149</v>
      </c>
      <c r="I468" s="12" t="s">
        <v>55</v>
      </c>
      <c r="J468" s="12" t="s">
        <v>39</v>
      </c>
      <c r="K468" s="13">
        <v>46045.0</v>
      </c>
      <c r="L468" s="13">
        <v>46047.0</v>
      </c>
      <c r="M468" s="12">
        <v>2.0</v>
      </c>
      <c r="N468" s="12"/>
      <c r="O468" s="12"/>
    </row>
    <row r="469" ht="15.75" customHeight="1">
      <c r="A469" s="9" t="s">
        <v>115</v>
      </c>
      <c r="B469" s="9" t="s">
        <v>1253</v>
      </c>
      <c r="C469" s="9" t="s">
        <v>32</v>
      </c>
      <c r="D469" s="9" t="s">
        <v>734</v>
      </c>
      <c r="E469" s="9" t="s">
        <v>34</v>
      </c>
      <c r="F469" s="9" t="s">
        <v>24</v>
      </c>
      <c r="G469" s="9" t="s">
        <v>1254</v>
      </c>
      <c r="H469" s="9" t="s">
        <v>736</v>
      </c>
      <c r="I469" s="9" t="s">
        <v>27</v>
      </c>
      <c r="J469" s="9" t="s">
        <v>48</v>
      </c>
      <c r="K469" s="10">
        <v>46050.0</v>
      </c>
      <c r="L469" s="10"/>
      <c r="M469" s="9"/>
      <c r="N469" s="9" t="s">
        <v>125</v>
      </c>
      <c r="O469" s="9"/>
    </row>
    <row r="470" ht="15.75" customHeight="1">
      <c r="A470" s="12" t="s">
        <v>40</v>
      </c>
      <c r="B470" s="12" t="s">
        <v>1255</v>
      </c>
      <c r="C470" s="12" t="s">
        <v>708</v>
      </c>
      <c r="D470" s="12" t="s">
        <v>33</v>
      </c>
      <c r="E470" s="12" t="s">
        <v>52</v>
      </c>
      <c r="F470" s="12" t="s">
        <v>35</v>
      </c>
      <c r="G470" s="12" t="s">
        <v>1256</v>
      </c>
      <c r="H470" s="12" t="s">
        <v>37</v>
      </c>
      <c r="I470" s="12" t="s">
        <v>27</v>
      </c>
      <c r="J470" s="12" t="s">
        <v>48</v>
      </c>
      <c r="K470" s="13">
        <v>46073.0</v>
      </c>
      <c r="L470" s="13"/>
      <c r="M470" s="12"/>
      <c r="N470" s="12"/>
      <c r="O470" s="12"/>
    </row>
    <row r="471" ht="15.75" customHeight="1">
      <c r="A471" s="9" t="s">
        <v>19</v>
      </c>
      <c r="B471" s="9" t="s">
        <v>1257</v>
      </c>
      <c r="C471" s="9" t="s">
        <v>898</v>
      </c>
      <c r="D471" s="9" t="s">
        <v>122</v>
      </c>
      <c r="E471" s="9" t="s">
        <v>97</v>
      </c>
      <c r="F471" s="9" t="s">
        <v>35</v>
      </c>
      <c r="G471" s="9" t="s">
        <v>1258</v>
      </c>
      <c r="H471" s="9" t="s">
        <v>124</v>
      </c>
      <c r="I471" s="9" t="s">
        <v>27</v>
      </c>
      <c r="J471" s="9" t="s">
        <v>39</v>
      </c>
      <c r="K471" s="10">
        <v>46032.0</v>
      </c>
      <c r="L471" s="10">
        <v>46040.0</v>
      </c>
      <c r="M471" s="9">
        <v>8.0</v>
      </c>
      <c r="N471" s="9"/>
      <c r="O471" s="9"/>
    </row>
    <row r="472" ht="15.75" customHeight="1">
      <c r="A472" s="12" t="s">
        <v>40</v>
      </c>
      <c r="B472" s="12" t="s">
        <v>1259</v>
      </c>
      <c r="C472" s="12" t="s">
        <v>295</v>
      </c>
      <c r="D472" s="12" t="s">
        <v>166</v>
      </c>
      <c r="E472" s="12" t="s">
        <v>71</v>
      </c>
      <c r="F472" s="12" t="s">
        <v>24</v>
      </c>
      <c r="G472" s="12" t="s">
        <v>1260</v>
      </c>
      <c r="H472" s="12" t="s">
        <v>168</v>
      </c>
      <c r="I472" s="12" t="s">
        <v>55</v>
      </c>
      <c r="J472" s="12" t="s">
        <v>28</v>
      </c>
      <c r="K472" s="13">
        <v>46075.0</v>
      </c>
      <c r="L472" s="13"/>
      <c r="M472" s="12"/>
      <c r="N472" s="12"/>
      <c r="O472" s="12"/>
    </row>
    <row r="473" ht="15.75" customHeight="1">
      <c r="A473" s="9" t="s">
        <v>40</v>
      </c>
      <c r="B473" s="9" t="s">
        <v>1261</v>
      </c>
      <c r="C473" s="9" t="s">
        <v>106</v>
      </c>
      <c r="D473" s="9" t="s">
        <v>350</v>
      </c>
      <c r="E473" s="9" t="s">
        <v>71</v>
      </c>
      <c r="F473" s="9" t="s">
        <v>35</v>
      </c>
      <c r="G473" s="9" t="s">
        <v>1262</v>
      </c>
      <c r="H473" s="9" t="s">
        <v>352</v>
      </c>
      <c r="I473" s="9" t="s">
        <v>27</v>
      </c>
      <c r="J473" s="9" t="s">
        <v>39</v>
      </c>
      <c r="K473" s="10">
        <v>46022.0</v>
      </c>
      <c r="L473" s="10">
        <v>46032.0</v>
      </c>
      <c r="M473" s="9">
        <v>10.0</v>
      </c>
      <c r="N473" s="9"/>
      <c r="O473" s="9"/>
    </row>
    <row r="474" ht="15.75" customHeight="1">
      <c r="A474" s="12" t="s">
        <v>40</v>
      </c>
      <c r="B474" s="12" t="s">
        <v>1263</v>
      </c>
      <c r="C474" s="12" t="s">
        <v>203</v>
      </c>
      <c r="D474" s="12" t="s">
        <v>291</v>
      </c>
      <c r="E474" s="12" t="s">
        <v>52</v>
      </c>
      <c r="F474" s="12" t="s">
        <v>35</v>
      </c>
      <c r="G474" s="12" t="s">
        <v>1264</v>
      </c>
      <c r="H474" s="12" t="s">
        <v>293</v>
      </c>
      <c r="I474" s="12" t="s">
        <v>27</v>
      </c>
      <c r="J474" s="12" t="s">
        <v>28</v>
      </c>
      <c r="K474" s="13">
        <v>46072.0</v>
      </c>
      <c r="L474" s="13"/>
      <c r="M474" s="12"/>
      <c r="N474" s="12"/>
      <c r="O474" s="12"/>
    </row>
    <row r="475" ht="15.75" customHeight="1">
      <c r="A475" s="9" t="s">
        <v>19</v>
      </c>
      <c r="B475" s="9" t="s">
        <v>1265</v>
      </c>
      <c r="C475" s="9" t="s">
        <v>328</v>
      </c>
      <c r="D475" s="9" t="s">
        <v>1266</v>
      </c>
      <c r="E475" s="9" t="s">
        <v>52</v>
      </c>
      <c r="F475" s="9" t="s">
        <v>35</v>
      </c>
      <c r="G475" s="9" t="s">
        <v>1267</v>
      </c>
      <c r="H475" s="9" t="s">
        <v>1268</v>
      </c>
      <c r="I475" s="9" t="s">
        <v>38</v>
      </c>
      <c r="J475" s="9" t="s">
        <v>39</v>
      </c>
      <c r="K475" s="10">
        <v>46027.0</v>
      </c>
      <c r="L475" s="10">
        <v>46037.0</v>
      </c>
      <c r="M475" s="9">
        <v>10.0</v>
      </c>
      <c r="N475" s="9"/>
      <c r="O475" s="9"/>
    </row>
    <row r="476" ht="15.75" customHeight="1">
      <c r="A476" s="12" t="s">
        <v>62</v>
      </c>
      <c r="B476" s="12" t="s">
        <v>1269</v>
      </c>
      <c r="C476" s="12" t="s">
        <v>160</v>
      </c>
      <c r="D476" s="12" t="s">
        <v>196</v>
      </c>
      <c r="E476" s="12" t="s">
        <v>52</v>
      </c>
      <c r="F476" s="12" t="s">
        <v>45</v>
      </c>
      <c r="G476" s="12" t="s">
        <v>1270</v>
      </c>
      <c r="H476" s="12" t="s">
        <v>198</v>
      </c>
      <c r="I476" s="12" t="s">
        <v>55</v>
      </c>
      <c r="J476" s="12" t="s">
        <v>48</v>
      </c>
      <c r="K476" s="13">
        <v>46030.0</v>
      </c>
      <c r="L476" s="13"/>
      <c r="M476" s="12"/>
      <c r="N476" s="12" t="s">
        <v>125</v>
      </c>
      <c r="O476" s="12"/>
    </row>
    <row r="477" ht="15.75" customHeight="1">
      <c r="A477" s="9" t="s">
        <v>40</v>
      </c>
      <c r="B477" s="9" t="s">
        <v>1271</v>
      </c>
      <c r="C477" s="9" t="s">
        <v>135</v>
      </c>
      <c r="D477" s="9" t="s">
        <v>357</v>
      </c>
      <c r="E477" s="9" t="s">
        <v>186</v>
      </c>
      <c r="F477" s="9" t="s">
        <v>35</v>
      </c>
      <c r="G477" s="9" t="s">
        <v>1272</v>
      </c>
      <c r="H477" s="9" t="s">
        <v>359</v>
      </c>
      <c r="I477" s="9" t="s">
        <v>27</v>
      </c>
      <c r="J477" s="9" t="s">
        <v>39</v>
      </c>
      <c r="K477" s="10">
        <v>46055.0</v>
      </c>
      <c r="L477" s="10">
        <v>46058.0</v>
      </c>
      <c r="M477" s="9">
        <v>3.0</v>
      </c>
      <c r="N477" s="9"/>
      <c r="O477" s="9"/>
    </row>
    <row r="478" ht="15.75" customHeight="1">
      <c r="A478" s="12" t="s">
        <v>19</v>
      </c>
      <c r="B478" s="12" t="s">
        <v>1273</v>
      </c>
      <c r="C478" s="12" t="s">
        <v>21</v>
      </c>
      <c r="D478" s="12" t="s">
        <v>395</v>
      </c>
      <c r="E478" s="12" t="s">
        <v>52</v>
      </c>
      <c r="F478" s="12" t="s">
        <v>24</v>
      </c>
      <c r="G478" s="12" t="s">
        <v>1274</v>
      </c>
      <c r="H478" s="12" t="s">
        <v>397</v>
      </c>
      <c r="I478" s="12" t="s">
        <v>55</v>
      </c>
      <c r="J478" s="12" t="s">
        <v>28</v>
      </c>
      <c r="K478" s="13">
        <v>46056.0</v>
      </c>
      <c r="L478" s="13"/>
      <c r="M478" s="12"/>
      <c r="N478" s="12" t="s">
        <v>29</v>
      </c>
      <c r="O478" s="12"/>
    </row>
    <row r="479" ht="15.75" customHeight="1">
      <c r="A479" s="9" t="s">
        <v>115</v>
      </c>
      <c r="B479" s="9" t="s">
        <v>1275</v>
      </c>
      <c r="C479" s="9" t="s">
        <v>21</v>
      </c>
      <c r="D479" s="9" t="s">
        <v>128</v>
      </c>
      <c r="E479" s="9" t="s">
        <v>118</v>
      </c>
      <c r="F479" s="9" t="s">
        <v>24</v>
      </c>
      <c r="G479" s="9" t="s">
        <v>1276</v>
      </c>
      <c r="H479" s="9" t="s">
        <v>130</v>
      </c>
      <c r="I479" s="9" t="s">
        <v>55</v>
      </c>
      <c r="J479" s="9" t="s">
        <v>39</v>
      </c>
      <c r="K479" s="10">
        <v>46042.0</v>
      </c>
      <c r="L479" s="10">
        <v>46046.0</v>
      </c>
      <c r="M479" s="9">
        <v>4.0</v>
      </c>
      <c r="N479" s="9"/>
      <c r="O479" s="9"/>
    </row>
    <row r="480" ht="15.75" customHeight="1">
      <c r="A480" s="12" t="s">
        <v>19</v>
      </c>
      <c r="B480" s="12" t="s">
        <v>1277</v>
      </c>
      <c r="C480" s="12" t="s">
        <v>95</v>
      </c>
      <c r="D480" s="12" t="s">
        <v>310</v>
      </c>
      <c r="E480" s="12" t="s">
        <v>186</v>
      </c>
      <c r="F480" s="12" t="s">
        <v>35</v>
      </c>
      <c r="G480" s="12" t="s">
        <v>1278</v>
      </c>
      <c r="H480" s="12" t="s">
        <v>312</v>
      </c>
      <c r="I480" s="12" t="s">
        <v>38</v>
      </c>
      <c r="J480" s="12" t="s">
        <v>48</v>
      </c>
      <c r="K480" s="13">
        <v>46054.0</v>
      </c>
      <c r="L480" s="13"/>
      <c r="M480" s="12"/>
      <c r="N480" s="12" t="s">
        <v>29</v>
      </c>
      <c r="O480" s="12"/>
    </row>
    <row r="481" ht="15.75" customHeight="1">
      <c r="A481" s="9" t="s">
        <v>40</v>
      </c>
      <c r="B481" s="9" t="s">
        <v>1279</v>
      </c>
      <c r="C481" s="9" t="s">
        <v>175</v>
      </c>
      <c r="D481" s="9" t="s">
        <v>314</v>
      </c>
      <c r="E481" s="9" t="s">
        <v>81</v>
      </c>
      <c r="F481" s="9" t="s">
        <v>35</v>
      </c>
      <c r="G481" s="9" t="s">
        <v>1280</v>
      </c>
      <c r="H481" s="9" t="s">
        <v>316</v>
      </c>
      <c r="I481" s="9" t="s">
        <v>38</v>
      </c>
      <c r="J481" s="9" t="s">
        <v>28</v>
      </c>
      <c r="K481" s="10">
        <v>46065.0</v>
      </c>
      <c r="L481" s="10"/>
      <c r="M481" s="9"/>
      <c r="N481" s="9" t="s">
        <v>29</v>
      </c>
      <c r="O481" s="9"/>
    </row>
    <row r="482" ht="15.75" customHeight="1">
      <c r="A482" s="12" t="s">
        <v>62</v>
      </c>
      <c r="B482" s="12" t="s">
        <v>1281</v>
      </c>
      <c r="C482" s="12" t="s">
        <v>792</v>
      </c>
      <c r="D482" s="12" t="s">
        <v>310</v>
      </c>
      <c r="E482" s="12" t="s">
        <v>118</v>
      </c>
      <c r="F482" s="12" t="s">
        <v>24</v>
      </c>
      <c r="G482" s="12" t="s">
        <v>1282</v>
      </c>
      <c r="H482" s="12" t="s">
        <v>312</v>
      </c>
      <c r="I482" s="12" t="s">
        <v>55</v>
      </c>
      <c r="J482" s="12" t="s">
        <v>39</v>
      </c>
      <c r="K482" s="13">
        <v>46043.0</v>
      </c>
      <c r="L482" s="13">
        <v>46048.0</v>
      </c>
      <c r="M482" s="12">
        <v>5.0</v>
      </c>
      <c r="N482" s="12"/>
      <c r="O482" s="12"/>
    </row>
    <row r="483" ht="15.75" customHeight="1">
      <c r="A483" s="9" t="s">
        <v>115</v>
      </c>
      <c r="B483" s="9" t="s">
        <v>1283</v>
      </c>
      <c r="C483" s="9" t="s">
        <v>655</v>
      </c>
      <c r="D483" s="9" t="s">
        <v>191</v>
      </c>
      <c r="E483" s="9" t="s">
        <v>186</v>
      </c>
      <c r="F483" s="9" t="s">
        <v>45</v>
      </c>
      <c r="G483" s="9" t="s">
        <v>1284</v>
      </c>
      <c r="H483" s="9" t="s">
        <v>193</v>
      </c>
      <c r="I483" s="9" t="s">
        <v>55</v>
      </c>
      <c r="J483" s="9" t="s">
        <v>39</v>
      </c>
      <c r="K483" s="10">
        <v>46040.0</v>
      </c>
      <c r="L483" s="10">
        <v>46042.0</v>
      </c>
      <c r="M483" s="9">
        <v>2.0</v>
      </c>
      <c r="N483" s="9"/>
      <c r="O483" s="9"/>
    </row>
    <row r="484" ht="15.75" customHeight="1">
      <c r="A484" s="12" t="s">
        <v>30</v>
      </c>
      <c r="B484" s="12" t="s">
        <v>1285</v>
      </c>
      <c r="C484" s="12" t="s">
        <v>648</v>
      </c>
      <c r="D484" s="12" t="s">
        <v>252</v>
      </c>
      <c r="E484" s="12" t="s">
        <v>59</v>
      </c>
      <c r="F484" s="12" t="s">
        <v>35</v>
      </c>
      <c r="G484" s="12" t="s">
        <v>1286</v>
      </c>
      <c r="H484" s="12" t="s">
        <v>254</v>
      </c>
      <c r="I484" s="12" t="s">
        <v>55</v>
      </c>
      <c r="J484" s="12" t="s">
        <v>39</v>
      </c>
      <c r="K484" s="13">
        <v>46064.0</v>
      </c>
      <c r="L484" s="13">
        <v>46072.0</v>
      </c>
      <c r="M484" s="12">
        <v>8.0</v>
      </c>
      <c r="N484" s="12"/>
      <c r="O484" s="12"/>
    </row>
    <row r="485" ht="15.75" customHeight="1">
      <c r="A485" s="9" t="s">
        <v>115</v>
      </c>
      <c r="B485" s="9" t="s">
        <v>1287</v>
      </c>
      <c r="C485" s="9" t="s">
        <v>170</v>
      </c>
      <c r="D485" s="9" t="s">
        <v>259</v>
      </c>
      <c r="E485" s="9" t="s">
        <v>59</v>
      </c>
      <c r="F485" s="9" t="s">
        <v>45</v>
      </c>
      <c r="G485" s="9" t="s">
        <v>1288</v>
      </c>
      <c r="H485" s="9" t="s">
        <v>261</v>
      </c>
      <c r="I485" s="9" t="s">
        <v>27</v>
      </c>
      <c r="J485" s="9" t="s">
        <v>48</v>
      </c>
      <c r="K485" s="10">
        <v>46052.0</v>
      </c>
      <c r="L485" s="10"/>
      <c r="M485" s="9"/>
      <c r="N485" s="9" t="s">
        <v>29</v>
      </c>
      <c r="O485" s="9"/>
    </row>
    <row r="486" ht="15.75" customHeight="1">
      <c r="A486" s="12" t="s">
        <v>40</v>
      </c>
      <c r="B486" s="12" t="s">
        <v>1289</v>
      </c>
      <c r="C486" s="12" t="s">
        <v>792</v>
      </c>
      <c r="D486" s="12" t="s">
        <v>245</v>
      </c>
      <c r="E486" s="12" t="s">
        <v>118</v>
      </c>
      <c r="F486" s="12" t="s">
        <v>24</v>
      </c>
      <c r="G486" s="12" t="s">
        <v>1290</v>
      </c>
      <c r="H486" s="12" t="s">
        <v>247</v>
      </c>
      <c r="I486" s="12" t="s">
        <v>55</v>
      </c>
      <c r="J486" s="12" t="s">
        <v>48</v>
      </c>
      <c r="K486" s="13">
        <v>46051.0</v>
      </c>
      <c r="L486" s="13"/>
      <c r="M486" s="12"/>
      <c r="N486" s="12" t="s">
        <v>29</v>
      </c>
      <c r="O486" s="12"/>
    </row>
    <row r="487" ht="15.75" customHeight="1">
      <c r="A487" s="9" t="s">
        <v>19</v>
      </c>
      <c r="B487" s="9" t="s">
        <v>1291</v>
      </c>
      <c r="C487" s="9" t="s">
        <v>991</v>
      </c>
      <c r="D487" s="9" t="s">
        <v>112</v>
      </c>
      <c r="E487" s="9" t="s">
        <v>34</v>
      </c>
      <c r="F487" s="9" t="s">
        <v>35</v>
      </c>
      <c r="G487" s="9" t="s">
        <v>1292</v>
      </c>
      <c r="H487" s="9" t="s">
        <v>114</v>
      </c>
      <c r="I487" s="9" t="s">
        <v>55</v>
      </c>
      <c r="J487" s="9" t="s">
        <v>39</v>
      </c>
      <c r="K487" s="10">
        <v>46061.0</v>
      </c>
      <c r="L487" s="10">
        <v>46064.0</v>
      </c>
      <c r="M487" s="9">
        <v>3.0</v>
      </c>
      <c r="N487" s="9"/>
      <c r="O487" s="9"/>
    </row>
    <row r="488" ht="15.75" customHeight="1">
      <c r="A488" s="12" t="s">
        <v>40</v>
      </c>
      <c r="B488" s="12" t="s">
        <v>1293</v>
      </c>
      <c r="C488" s="12" t="s">
        <v>95</v>
      </c>
      <c r="D488" s="12" t="s">
        <v>22</v>
      </c>
      <c r="E488" s="12" t="s">
        <v>34</v>
      </c>
      <c r="F488" s="12" t="s">
        <v>45</v>
      </c>
      <c r="G488" s="12" t="s">
        <v>1294</v>
      </c>
      <c r="H488" s="12" t="s">
        <v>26</v>
      </c>
      <c r="I488" s="12" t="s">
        <v>38</v>
      </c>
      <c r="J488" s="12" t="s">
        <v>28</v>
      </c>
      <c r="K488" s="13">
        <v>46051.0</v>
      </c>
      <c r="L488" s="13"/>
      <c r="M488" s="12"/>
      <c r="N488" s="12" t="s">
        <v>29</v>
      </c>
      <c r="O488" s="12"/>
    </row>
    <row r="489" ht="15.75" customHeight="1">
      <c r="A489" s="9" t="s">
        <v>30</v>
      </c>
      <c r="B489" s="9" t="s">
        <v>1295</v>
      </c>
      <c r="C489" s="9" t="s">
        <v>212</v>
      </c>
      <c r="D489" s="9" t="s">
        <v>504</v>
      </c>
      <c r="E489" s="9" t="s">
        <v>44</v>
      </c>
      <c r="F489" s="9" t="s">
        <v>24</v>
      </c>
      <c r="G489" s="9" t="s">
        <v>1296</v>
      </c>
      <c r="H489" s="9" t="s">
        <v>506</v>
      </c>
      <c r="I489" s="9" t="s">
        <v>27</v>
      </c>
      <c r="J489" s="9" t="s">
        <v>39</v>
      </c>
      <c r="K489" s="10">
        <v>46041.0</v>
      </c>
      <c r="L489" s="10">
        <v>46047.0</v>
      </c>
      <c r="M489" s="9">
        <v>6.0</v>
      </c>
      <c r="N489" s="9"/>
      <c r="O489" s="9"/>
    </row>
    <row r="490" ht="15.75" customHeight="1">
      <c r="A490" s="12" t="s">
        <v>115</v>
      </c>
      <c r="B490" s="12" t="s">
        <v>1297</v>
      </c>
      <c r="C490" s="12" t="s">
        <v>178</v>
      </c>
      <c r="D490" s="12" t="s">
        <v>424</v>
      </c>
      <c r="E490" s="12" t="s">
        <v>186</v>
      </c>
      <c r="F490" s="12" t="s">
        <v>24</v>
      </c>
      <c r="G490" s="12" t="s">
        <v>1298</v>
      </c>
      <c r="H490" s="12" t="s">
        <v>426</v>
      </c>
      <c r="I490" s="12" t="s">
        <v>27</v>
      </c>
      <c r="J490" s="12" t="s">
        <v>28</v>
      </c>
      <c r="K490" s="13">
        <v>46024.0</v>
      </c>
      <c r="L490" s="13"/>
      <c r="M490" s="12"/>
      <c r="N490" s="12" t="s">
        <v>125</v>
      </c>
      <c r="O490" s="12"/>
    </row>
    <row r="491" ht="15.75" customHeight="1">
      <c r="A491" s="9" t="s">
        <v>30</v>
      </c>
      <c r="B491" s="9" t="s">
        <v>1299</v>
      </c>
      <c r="C491" s="9" t="s">
        <v>117</v>
      </c>
      <c r="D491" s="9" t="s">
        <v>539</v>
      </c>
      <c r="E491" s="9" t="s">
        <v>81</v>
      </c>
      <c r="F491" s="9" t="s">
        <v>45</v>
      </c>
      <c r="G491" s="9" t="s">
        <v>1300</v>
      </c>
      <c r="H491" s="9" t="s">
        <v>541</v>
      </c>
      <c r="I491" s="9" t="s">
        <v>27</v>
      </c>
      <c r="J491" s="9" t="s">
        <v>39</v>
      </c>
      <c r="K491" s="10">
        <v>46028.0</v>
      </c>
      <c r="L491" s="10">
        <v>46036.0</v>
      </c>
      <c r="M491" s="9">
        <v>8.0</v>
      </c>
      <c r="N491" s="9"/>
      <c r="O491" s="9"/>
    </row>
    <row r="492" ht="15.75" customHeight="1">
      <c r="A492" s="12" t="s">
        <v>62</v>
      </c>
      <c r="B492" s="12" t="s">
        <v>1301</v>
      </c>
      <c r="C492" s="12" t="s">
        <v>215</v>
      </c>
      <c r="D492" s="12" t="s">
        <v>465</v>
      </c>
      <c r="E492" s="12" t="s">
        <v>186</v>
      </c>
      <c r="F492" s="12" t="s">
        <v>35</v>
      </c>
      <c r="G492" s="12" t="s">
        <v>1302</v>
      </c>
      <c r="H492" s="12" t="s">
        <v>467</v>
      </c>
      <c r="I492" s="12" t="s">
        <v>27</v>
      </c>
      <c r="J492" s="12" t="s">
        <v>39</v>
      </c>
      <c r="K492" s="13">
        <v>46077.0</v>
      </c>
      <c r="L492" s="13">
        <v>46081.0</v>
      </c>
      <c r="M492" s="12">
        <v>4.0</v>
      </c>
      <c r="N492" s="12"/>
      <c r="O492" s="12"/>
    </row>
    <row r="493" ht="15.75" customHeight="1">
      <c r="A493" s="9" t="s">
        <v>62</v>
      </c>
      <c r="B493" s="9" t="s">
        <v>1303</v>
      </c>
      <c r="C493" s="9" t="s">
        <v>234</v>
      </c>
      <c r="D493" s="9" t="s">
        <v>179</v>
      </c>
      <c r="E493" s="9" t="s">
        <v>81</v>
      </c>
      <c r="F493" s="9" t="s">
        <v>45</v>
      </c>
      <c r="G493" s="9" t="s">
        <v>1304</v>
      </c>
      <c r="H493" s="9" t="s">
        <v>181</v>
      </c>
      <c r="I493" s="9" t="s">
        <v>27</v>
      </c>
      <c r="J493" s="9" t="s">
        <v>39</v>
      </c>
      <c r="K493" s="10">
        <v>46078.0</v>
      </c>
      <c r="L493" s="10">
        <v>46087.0</v>
      </c>
      <c r="M493" s="9">
        <v>9.0</v>
      </c>
      <c r="N493" s="9"/>
      <c r="O493" s="9"/>
    </row>
    <row r="494" ht="15.75" customHeight="1">
      <c r="A494" s="12" t="s">
        <v>115</v>
      </c>
      <c r="B494" s="12" t="s">
        <v>1305</v>
      </c>
      <c r="C494" s="12" t="s">
        <v>203</v>
      </c>
      <c r="D494" s="12" t="s">
        <v>582</v>
      </c>
      <c r="E494" s="12" t="s">
        <v>34</v>
      </c>
      <c r="F494" s="12" t="s">
        <v>24</v>
      </c>
      <c r="G494" s="12" t="s">
        <v>1306</v>
      </c>
      <c r="H494" s="12" t="s">
        <v>584</v>
      </c>
      <c r="I494" s="12" t="s">
        <v>27</v>
      </c>
      <c r="J494" s="12" t="s">
        <v>28</v>
      </c>
      <c r="K494" s="13">
        <v>46044.0</v>
      </c>
      <c r="L494" s="13"/>
      <c r="M494" s="12"/>
      <c r="N494" s="12" t="s">
        <v>125</v>
      </c>
      <c r="O494" s="12"/>
    </row>
    <row r="495" ht="15.75" customHeight="1">
      <c r="A495" s="9" t="s">
        <v>40</v>
      </c>
      <c r="B495" s="9" t="s">
        <v>1307</v>
      </c>
      <c r="C495" s="9" t="s">
        <v>251</v>
      </c>
      <c r="D495" s="9" t="s">
        <v>395</v>
      </c>
      <c r="E495" s="9" t="s">
        <v>52</v>
      </c>
      <c r="F495" s="9" t="s">
        <v>35</v>
      </c>
      <c r="G495" s="9" t="s">
        <v>1308</v>
      </c>
      <c r="H495" s="9" t="s">
        <v>397</v>
      </c>
      <c r="I495" s="9" t="s">
        <v>55</v>
      </c>
      <c r="J495" s="9" t="s">
        <v>39</v>
      </c>
      <c r="K495" s="10">
        <v>46054.0</v>
      </c>
      <c r="L495" s="10">
        <v>46061.0</v>
      </c>
      <c r="M495" s="9">
        <v>7.0</v>
      </c>
      <c r="N495" s="9"/>
      <c r="O495" s="9"/>
    </row>
    <row r="496" ht="15.75" customHeight="1">
      <c r="A496" s="12" t="s">
        <v>115</v>
      </c>
      <c r="B496" s="12" t="s">
        <v>1309</v>
      </c>
      <c r="C496" s="12" t="s">
        <v>554</v>
      </c>
      <c r="D496" s="12" t="s">
        <v>268</v>
      </c>
      <c r="E496" s="12" t="s">
        <v>118</v>
      </c>
      <c r="F496" s="12" t="s">
        <v>24</v>
      </c>
      <c r="G496" s="12" t="s">
        <v>1310</v>
      </c>
      <c r="H496" s="12" t="s">
        <v>270</v>
      </c>
      <c r="I496" s="12" t="s">
        <v>38</v>
      </c>
      <c r="J496" s="12" t="s">
        <v>28</v>
      </c>
      <c r="K496" s="13">
        <v>46044.0</v>
      </c>
      <c r="L496" s="13"/>
      <c r="M496" s="12"/>
      <c r="N496" s="12" t="s">
        <v>125</v>
      </c>
      <c r="O496" s="12"/>
    </row>
    <row r="497" ht="15.75" customHeight="1">
      <c r="A497" s="9" t="s">
        <v>30</v>
      </c>
      <c r="B497" s="9" t="s">
        <v>1311</v>
      </c>
      <c r="C497" s="9" t="s">
        <v>263</v>
      </c>
      <c r="D497" s="9" t="s">
        <v>836</v>
      </c>
      <c r="E497" s="9" t="s">
        <v>71</v>
      </c>
      <c r="F497" s="9" t="s">
        <v>45</v>
      </c>
      <c r="G497" s="9" t="s">
        <v>1312</v>
      </c>
      <c r="H497" s="9" t="s">
        <v>838</v>
      </c>
      <c r="I497" s="9" t="s">
        <v>55</v>
      </c>
      <c r="J497" s="9" t="s">
        <v>48</v>
      </c>
      <c r="K497" s="10">
        <v>46079.0</v>
      </c>
      <c r="L497" s="10"/>
      <c r="M497" s="9"/>
      <c r="N497" s="9"/>
      <c r="O497" s="9"/>
    </row>
    <row r="498" ht="15.75" customHeight="1">
      <c r="A498" s="12" t="s">
        <v>19</v>
      </c>
      <c r="B498" s="12" t="s">
        <v>1313</v>
      </c>
      <c r="C498" s="12" t="s">
        <v>175</v>
      </c>
      <c r="D498" s="12" t="s">
        <v>555</v>
      </c>
      <c r="E498" s="12" t="s">
        <v>23</v>
      </c>
      <c r="F498" s="12" t="s">
        <v>24</v>
      </c>
      <c r="G498" s="12" t="s">
        <v>1314</v>
      </c>
      <c r="H498" s="12" t="s">
        <v>557</v>
      </c>
      <c r="I498" s="12" t="s">
        <v>38</v>
      </c>
      <c r="J498" s="12" t="s">
        <v>39</v>
      </c>
      <c r="K498" s="13">
        <v>46046.0</v>
      </c>
      <c r="L498" s="13">
        <v>46054.0</v>
      </c>
      <c r="M498" s="12">
        <v>8.0</v>
      </c>
      <c r="N498" s="12"/>
      <c r="O498" s="12"/>
    </row>
    <row r="499" ht="15.75" customHeight="1">
      <c r="A499" s="9" t="s">
        <v>40</v>
      </c>
      <c r="B499" s="9" t="s">
        <v>1315</v>
      </c>
      <c r="C499" s="9" t="s">
        <v>980</v>
      </c>
      <c r="D499" s="9" t="s">
        <v>185</v>
      </c>
      <c r="E499" s="9" t="s">
        <v>52</v>
      </c>
      <c r="F499" s="9" t="s">
        <v>35</v>
      </c>
      <c r="G499" s="9" t="s">
        <v>1316</v>
      </c>
      <c r="H499" s="9" t="s">
        <v>188</v>
      </c>
      <c r="I499" s="9" t="s">
        <v>27</v>
      </c>
      <c r="J499" s="9" t="s">
        <v>28</v>
      </c>
      <c r="K499" s="10">
        <v>46045.0</v>
      </c>
      <c r="L499" s="10"/>
      <c r="M499" s="9"/>
      <c r="N499" s="9" t="s">
        <v>125</v>
      </c>
      <c r="O499" s="9"/>
    </row>
    <row r="500" ht="15.75" customHeight="1">
      <c r="A500" s="12" t="s">
        <v>40</v>
      </c>
      <c r="B500" s="12" t="s">
        <v>1317</v>
      </c>
      <c r="C500" s="12" t="s">
        <v>85</v>
      </c>
      <c r="D500" s="12" t="s">
        <v>235</v>
      </c>
      <c r="E500" s="12" t="s">
        <v>71</v>
      </c>
      <c r="F500" s="12" t="s">
        <v>24</v>
      </c>
      <c r="G500" s="12" t="s">
        <v>1318</v>
      </c>
      <c r="H500" s="12" t="s">
        <v>237</v>
      </c>
      <c r="I500" s="12" t="s">
        <v>38</v>
      </c>
      <c r="J500" s="12" t="s">
        <v>48</v>
      </c>
      <c r="K500" s="13">
        <v>46069.0</v>
      </c>
      <c r="L500" s="13"/>
      <c r="M500" s="12"/>
      <c r="N500" s="12"/>
      <c r="O500" s="12"/>
    </row>
    <row r="501" ht="15.75" customHeight="1">
      <c r="A501" s="9" t="s">
        <v>62</v>
      </c>
      <c r="B501" s="9" t="s">
        <v>1319</v>
      </c>
      <c r="C501" s="9" t="s">
        <v>991</v>
      </c>
      <c r="D501" s="9" t="s">
        <v>107</v>
      </c>
      <c r="E501" s="9" t="s">
        <v>23</v>
      </c>
      <c r="F501" s="9" t="s">
        <v>24</v>
      </c>
      <c r="G501" s="9" t="s">
        <v>1320</v>
      </c>
      <c r="H501" s="9" t="s">
        <v>109</v>
      </c>
      <c r="I501" s="9" t="s">
        <v>55</v>
      </c>
      <c r="J501" s="9" t="s">
        <v>39</v>
      </c>
      <c r="K501" s="10">
        <v>46036.0</v>
      </c>
      <c r="L501" s="10">
        <v>46040.0</v>
      </c>
      <c r="M501" s="9">
        <v>4.0</v>
      </c>
      <c r="N501" s="9"/>
      <c r="O501" s="9"/>
    </row>
    <row r="502" ht="15.75" customHeight="1">
      <c r="A502" s="12" t="s">
        <v>62</v>
      </c>
      <c r="B502" s="12" t="s">
        <v>1321</v>
      </c>
      <c r="C502" s="12" t="s">
        <v>165</v>
      </c>
      <c r="D502" s="12" t="s">
        <v>387</v>
      </c>
      <c r="E502" s="12" t="s">
        <v>97</v>
      </c>
      <c r="F502" s="12" t="s">
        <v>24</v>
      </c>
      <c r="G502" s="12" t="s">
        <v>1322</v>
      </c>
      <c r="H502" s="12" t="s">
        <v>389</v>
      </c>
      <c r="I502" s="12" t="s">
        <v>27</v>
      </c>
      <c r="J502" s="12" t="s">
        <v>28</v>
      </c>
      <c r="K502" s="13">
        <v>46030.0</v>
      </c>
      <c r="L502" s="13"/>
      <c r="M502" s="12"/>
      <c r="N502" s="12" t="s">
        <v>125</v>
      </c>
      <c r="O502" s="12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6"/>
      <c r="L503" s="16"/>
      <c r="M503" s="15"/>
      <c r="N503" s="15"/>
      <c r="O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6"/>
      <c r="L504" s="16"/>
      <c r="M504" s="15"/>
      <c r="N504" s="15"/>
      <c r="O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6"/>
      <c r="L505" s="16"/>
      <c r="M505" s="15"/>
      <c r="N505" s="15"/>
      <c r="O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6"/>
      <c r="L506" s="16"/>
      <c r="M506" s="15"/>
      <c r="N506" s="15"/>
      <c r="O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6"/>
      <c r="L507" s="16"/>
      <c r="M507" s="15"/>
      <c r="N507" s="15"/>
      <c r="O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6"/>
      <c r="L508" s="16"/>
      <c r="M508" s="15"/>
      <c r="N508" s="15"/>
      <c r="O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6"/>
      <c r="L509" s="16"/>
      <c r="M509" s="15"/>
      <c r="N509" s="15"/>
      <c r="O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6"/>
      <c r="L510" s="16"/>
      <c r="M510" s="15"/>
      <c r="N510" s="15"/>
      <c r="O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6"/>
      <c r="L511" s="16"/>
      <c r="M511" s="15"/>
      <c r="N511" s="15"/>
      <c r="O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6"/>
      <c r="L512" s="16"/>
      <c r="M512" s="15"/>
      <c r="N512" s="15"/>
      <c r="O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6"/>
      <c r="L513" s="16"/>
      <c r="M513" s="15"/>
      <c r="N513" s="15"/>
      <c r="O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6"/>
      <c r="L514" s="16"/>
      <c r="M514" s="15"/>
      <c r="N514" s="15"/>
      <c r="O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6"/>
      <c r="L515" s="16"/>
      <c r="M515" s="15"/>
      <c r="N515" s="15"/>
      <c r="O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6"/>
      <c r="L516" s="16"/>
      <c r="M516" s="15"/>
      <c r="N516" s="15"/>
      <c r="O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6"/>
      <c r="L517" s="16"/>
      <c r="M517" s="15"/>
      <c r="N517" s="15"/>
      <c r="O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6"/>
      <c r="L518" s="16"/>
      <c r="M518" s="15"/>
      <c r="N518" s="15"/>
      <c r="O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6"/>
      <c r="L519" s="16"/>
      <c r="M519" s="15"/>
      <c r="N519" s="15"/>
      <c r="O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6"/>
      <c r="L520" s="16"/>
      <c r="M520" s="15"/>
      <c r="N520" s="15"/>
      <c r="O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6"/>
      <c r="L521" s="16"/>
      <c r="M521" s="15"/>
      <c r="N521" s="15"/>
      <c r="O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6"/>
      <c r="L522" s="16"/>
      <c r="M522" s="15"/>
      <c r="N522" s="15"/>
      <c r="O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6"/>
      <c r="L523" s="16"/>
      <c r="M523" s="15"/>
      <c r="N523" s="15"/>
      <c r="O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6"/>
      <c r="L524" s="16"/>
      <c r="M524" s="15"/>
      <c r="N524" s="15"/>
      <c r="O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6"/>
      <c r="L525" s="16"/>
      <c r="M525" s="15"/>
      <c r="N525" s="15"/>
      <c r="O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6"/>
      <c r="L526" s="16"/>
      <c r="M526" s="15"/>
      <c r="N526" s="15"/>
      <c r="O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6"/>
      <c r="L527" s="16"/>
      <c r="M527" s="15"/>
      <c r="N527" s="15"/>
      <c r="O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6"/>
      <c r="L528" s="16"/>
      <c r="M528" s="15"/>
      <c r="N528" s="15"/>
      <c r="O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6"/>
      <c r="L529" s="16"/>
      <c r="M529" s="15"/>
      <c r="N529" s="15"/>
      <c r="O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6"/>
      <c r="L530" s="16"/>
      <c r="M530" s="15"/>
      <c r="N530" s="15"/>
      <c r="O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6"/>
      <c r="L531" s="16"/>
      <c r="M531" s="15"/>
      <c r="N531" s="15"/>
      <c r="O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6"/>
      <c r="L532" s="16"/>
      <c r="M532" s="15"/>
      <c r="N532" s="15"/>
      <c r="O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6"/>
      <c r="L533" s="16"/>
      <c r="M533" s="15"/>
      <c r="N533" s="15"/>
      <c r="O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6"/>
      <c r="L534" s="16"/>
      <c r="M534" s="15"/>
      <c r="N534" s="15"/>
      <c r="O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6"/>
      <c r="L535" s="16"/>
      <c r="M535" s="15"/>
      <c r="N535" s="15"/>
      <c r="O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6"/>
      <c r="L536" s="16"/>
      <c r="M536" s="15"/>
      <c r="N536" s="15"/>
      <c r="O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6"/>
      <c r="L537" s="16"/>
      <c r="M537" s="15"/>
      <c r="N537" s="15"/>
      <c r="O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6"/>
      <c r="L538" s="16"/>
      <c r="M538" s="15"/>
      <c r="N538" s="15"/>
      <c r="O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6"/>
      <c r="L539" s="16"/>
      <c r="M539" s="15"/>
      <c r="N539" s="15"/>
      <c r="O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6"/>
      <c r="L540" s="16"/>
      <c r="M540" s="15"/>
      <c r="N540" s="15"/>
      <c r="O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6"/>
      <c r="L541" s="16"/>
      <c r="M541" s="15"/>
      <c r="N541" s="15"/>
      <c r="O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6"/>
      <c r="L542" s="16"/>
      <c r="M542" s="15"/>
      <c r="N542" s="15"/>
      <c r="O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6"/>
      <c r="L543" s="16"/>
      <c r="M543" s="15"/>
      <c r="N543" s="15"/>
      <c r="O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6"/>
      <c r="L544" s="16"/>
      <c r="M544" s="15"/>
      <c r="N544" s="15"/>
      <c r="O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6"/>
      <c r="L545" s="16"/>
      <c r="M545" s="15"/>
      <c r="N545" s="15"/>
      <c r="O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6"/>
      <c r="L546" s="16"/>
      <c r="M546" s="15"/>
      <c r="N546" s="15"/>
      <c r="O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6"/>
      <c r="L547" s="16"/>
      <c r="M547" s="15"/>
      <c r="N547" s="15"/>
      <c r="O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6"/>
      <c r="L548" s="16"/>
      <c r="M548" s="15"/>
      <c r="N548" s="15"/>
      <c r="O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6"/>
      <c r="L549" s="16"/>
      <c r="M549" s="15"/>
      <c r="N549" s="15"/>
      <c r="O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6"/>
      <c r="L550" s="16"/>
      <c r="M550" s="15"/>
      <c r="N550" s="15"/>
      <c r="O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6"/>
      <c r="L551" s="16"/>
      <c r="M551" s="15"/>
      <c r="N551" s="15"/>
      <c r="O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6"/>
      <c r="L552" s="16"/>
      <c r="M552" s="15"/>
      <c r="N552" s="15"/>
      <c r="O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6"/>
      <c r="L553" s="16"/>
      <c r="M553" s="15"/>
      <c r="N553" s="15"/>
      <c r="O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6"/>
      <c r="L554" s="16"/>
      <c r="M554" s="15"/>
      <c r="N554" s="15"/>
      <c r="O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6"/>
      <c r="L555" s="16"/>
      <c r="M555" s="15"/>
      <c r="N555" s="15"/>
      <c r="O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6"/>
      <c r="L556" s="16"/>
      <c r="M556" s="15"/>
      <c r="N556" s="15"/>
      <c r="O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6"/>
      <c r="L557" s="16"/>
      <c r="M557" s="15"/>
      <c r="N557" s="15"/>
      <c r="O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6"/>
      <c r="L558" s="16"/>
      <c r="M558" s="15"/>
      <c r="N558" s="15"/>
      <c r="O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6"/>
      <c r="L559" s="16"/>
      <c r="M559" s="15"/>
      <c r="N559" s="15"/>
      <c r="O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6"/>
      <c r="L560" s="16"/>
      <c r="M560" s="15"/>
      <c r="N560" s="15"/>
      <c r="O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6"/>
      <c r="L561" s="16"/>
      <c r="M561" s="15"/>
      <c r="N561" s="15"/>
      <c r="O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6"/>
      <c r="L562" s="16"/>
      <c r="M562" s="15"/>
      <c r="N562" s="15"/>
      <c r="O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6"/>
      <c r="L563" s="16"/>
      <c r="M563" s="15"/>
      <c r="N563" s="15"/>
      <c r="O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6"/>
      <c r="L564" s="16"/>
      <c r="M564" s="15"/>
      <c r="N564" s="15"/>
      <c r="O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6"/>
      <c r="L565" s="16"/>
      <c r="M565" s="15"/>
      <c r="N565" s="15"/>
      <c r="O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6"/>
      <c r="L566" s="16"/>
      <c r="M566" s="15"/>
      <c r="N566" s="15"/>
      <c r="O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6"/>
      <c r="L567" s="16"/>
      <c r="M567" s="15"/>
      <c r="N567" s="15"/>
      <c r="O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6"/>
      <c r="L568" s="16"/>
      <c r="M568" s="15"/>
      <c r="N568" s="15"/>
      <c r="O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6"/>
      <c r="L569" s="16"/>
      <c r="M569" s="15"/>
      <c r="N569" s="15"/>
      <c r="O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6"/>
      <c r="L570" s="16"/>
      <c r="M570" s="15"/>
      <c r="N570" s="15"/>
      <c r="O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6"/>
      <c r="L571" s="16"/>
      <c r="M571" s="15"/>
      <c r="N571" s="15"/>
      <c r="O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6"/>
      <c r="L572" s="16"/>
      <c r="M572" s="15"/>
      <c r="N572" s="15"/>
      <c r="O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6"/>
      <c r="L573" s="16"/>
      <c r="M573" s="15"/>
      <c r="N573" s="15"/>
      <c r="O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6"/>
      <c r="L574" s="16"/>
      <c r="M574" s="15"/>
      <c r="N574" s="15"/>
      <c r="O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6"/>
      <c r="L575" s="16"/>
      <c r="M575" s="15"/>
      <c r="N575" s="15"/>
      <c r="O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6"/>
      <c r="L576" s="16"/>
      <c r="M576" s="15"/>
      <c r="N576" s="15"/>
      <c r="O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6"/>
      <c r="L577" s="16"/>
      <c r="M577" s="15"/>
      <c r="N577" s="15"/>
      <c r="O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6"/>
      <c r="L578" s="16"/>
      <c r="M578" s="15"/>
      <c r="N578" s="15"/>
      <c r="O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6"/>
      <c r="L579" s="16"/>
      <c r="M579" s="15"/>
      <c r="N579" s="15"/>
      <c r="O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6"/>
      <c r="L580" s="16"/>
      <c r="M580" s="15"/>
      <c r="N580" s="15"/>
      <c r="O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6"/>
      <c r="L581" s="16"/>
      <c r="M581" s="15"/>
      <c r="N581" s="15"/>
      <c r="O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6"/>
      <c r="L582" s="16"/>
      <c r="M582" s="15"/>
      <c r="N582" s="15"/>
      <c r="O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6"/>
      <c r="L583" s="16"/>
      <c r="M583" s="15"/>
      <c r="N583" s="15"/>
      <c r="O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6"/>
      <c r="L584" s="16"/>
      <c r="M584" s="15"/>
      <c r="N584" s="15"/>
      <c r="O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6"/>
      <c r="L585" s="16"/>
      <c r="M585" s="15"/>
      <c r="N585" s="15"/>
      <c r="O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6"/>
      <c r="L586" s="16"/>
      <c r="M586" s="15"/>
      <c r="N586" s="15"/>
      <c r="O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6"/>
      <c r="L587" s="16"/>
      <c r="M587" s="15"/>
      <c r="N587" s="15"/>
      <c r="O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6"/>
      <c r="L588" s="16"/>
      <c r="M588" s="15"/>
      <c r="N588" s="15"/>
      <c r="O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6"/>
      <c r="L589" s="16"/>
      <c r="M589" s="15"/>
      <c r="N589" s="15"/>
      <c r="O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6"/>
      <c r="L590" s="16"/>
      <c r="M590" s="15"/>
      <c r="N590" s="15"/>
      <c r="O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6"/>
      <c r="L591" s="16"/>
      <c r="M591" s="15"/>
      <c r="N591" s="15"/>
      <c r="O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6"/>
      <c r="L592" s="16"/>
      <c r="M592" s="15"/>
      <c r="N592" s="15"/>
      <c r="O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6"/>
      <c r="L593" s="16"/>
      <c r="M593" s="15"/>
      <c r="N593" s="15"/>
      <c r="O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6"/>
      <c r="L594" s="16"/>
      <c r="M594" s="15"/>
      <c r="N594" s="15"/>
      <c r="O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6"/>
      <c r="L595" s="16"/>
      <c r="M595" s="15"/>
      <c r="N595" s="15"/>
      <c r="O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6"/>
      <c r="L596" s="16"/>
      <c r="M596" s="15"/>
      <c r="N596" s="15"/>
      <c r="O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6"/>
      <c r="L597" s="16"/>
      <c r="M597" s="15"/>
      <c r="N597" s="15"/>
      <c r="O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6"/>
      <c r="L598" s="16"/>
      <c r="M598" s="15"/>
      <c r="N598" s="15"/>
      <c r="O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6"/>
      <c r="L599" s="16"/>
      <c r="M599" s="15"/>
      <c r="N599" s="15"/>
      <c r="O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6"/>
      <c r="L600" s="16"/>
      <c r="M600" s="15"/>
      <c r="N600" s="15"/>
      <c r="O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6"/>
      <c r="L601" s="16"/>
      <c r="M601" s="15"/>
      <c r="N601" s="15"/>
      <c r="O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6"/>
      <c r="L602" s="16"/>
      <c r="M602" s="15"/>
      <c r="N602" s="15"/>
      <c r="O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6"/>
      <c r="L603" s="16"/>
      <c r="M603" s="15"/>
      <c r="N603" s="15"/>
      <c r="O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6"/>
      <c r="L604" s="16"/>
      <c r="M604" s="15"/>
      <c r="N604" s="15"/>
      <c r="O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6"/>
      <c r="L605" s="16"/>
      <c r="M605" s="15"/>
      <c r="N605" s="15"/>
      <c r="O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6"/>
      <c r="L606" s="16"/>
      <c r="M606" s="15"/>
      <c r="N606" s="15"/>
      <c r="O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6"/>
      <c r="L607" s="16"/>
      <c r="M607" s="15"/>
      <c r="N607" s="15"/>
      <c r="O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6"/>
      <c r="L608" s="16"/>
      <c r="M608" s="15"/>
      <c r="N608" s="15"/>
      <c r="O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6"/>
      <c r="L609" s="16"/>
      <c r="M609" s="15"/>
      <c r="N609" s="15"/>
      <c r="O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6"/>
      <c r="L610" s="16"/>
      <c r="M610" s="15"/>
      <c r="N610" s="15"/>
      <c r="O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6"/>
      <c r="L611" s="16"/>
      <c r="M611" s="15"/>
      <c r="N611" s="15"/>
      <c r="O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6"/>
      <c r="L612" s="16"/>
      <c r="M612" s="15"/>
      <c r="N612" s="15"/>
      <c r="O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6"/>
      <c r="L613" s="16"/>
      <c r="M613" s="15"/>
      <c r="N613" s="15"/>
      <c r="O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6"/>
      <c r="L614" s="16"/>
      <c r="M614" s="15"/>
      <c r="N614" s="15"/>
      <c r="O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6"/>
      <c r="L615" s="16"/>
      <c r="M615" s="15"/>
      <c r="N615" s="15"/>
      <c r="O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6"/>
      <c r="L616" s="16"/>
      <c r="M616" s="15"/>
      <c r="N616" s="15"/>
      <c r="O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6"/>
      <c r="L617" s="16"/>
      <c r="M617" s="15"/>
      <c r="N617" s="15"/>
      <c r="O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6"/>
      <c r="L618" s="16"/>
      <c r="M618" s="15"/>
      <c r="N618" s="15"/>
      <c r="O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6"/>
      <c r="L619" s="16"/>
      <c r="M619" s="15"/>
      <c r="N619" s="15"/>
      <c r="O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6"/>
      <c r="L620" s="16"/>
      <c r="M620" s="15"/>
      <c r="N620" s="15"/>
      <c r="O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6"/>
      <c r="L621" s="16"/>
      <c r="M621" s="15"/>
      <c r="N621" s="15"/>
      <c r="O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6"/>
      <c r="L622" s="16"/>
      <c r="M622" s="15"/>
      <c r="N622" s="15"/>
      <c r="O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6"/>
      <c r="L623" s="16"/>
      <c r="M623" s="15"/>
      <c r="N623" s="15"/>
      <c r="O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6"/>
      <c r="L624" s="16"/>
      <c r="M624" s="15"/>
      <c r="N624" s="15"/>
      <c r="O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6"/>
      <c r="L625" s="16"/>
      <c r="M625" s="15"/>
      <c r="N625" s="15"/>
      <c r="O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6"/>
      <c r="L626" s="16"/>
      <c r="M626" s="15"/>
      <c r="N626" s="15"/>
      <c r="O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6"/>
      <c r="L627" s="16"/>
      <c r="M627" s="15"/>
      <c r="N627" s="15"/>
      <c r="O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6"/>
      <c r="L628" s="16"/>
      <c r="M628" s="15"/>
      <c r="N628" s="15"/>
      <c r="O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6"/>
      <c r="L629" s="16"/>
      <c r="M629" s="15"/>
      <c r="N629" s="15"/>
      <c r="O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6"/>
      <c r="L630" s="16"/>
      <c r="M630" s="15"/>
      <c r="N630" s="15"/>
      <c r="O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6"/>
      <c r="L631" s="16"/>
      <c r="M631" s="15"/>
      <c r="N631" s="15"/>
      <c r="O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6"/>
      <c r="L632" s="16"/>
      <c r="M632" s="15"/>
      <c r="N632" s="15"/>
      <c r="O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6"/>
      <c r="L633" s="16"/>
      <c r="M633" s="15"/>
      <c r="N633" s="15"/>
      <c r="O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6"/>
      <c r="L634" s="16"/>
      <c r="M634" s="15"/>
      <c r="N634" s="15"/>
      <c r="O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6"/>
      <c r="L635" s="16"/>
      <c r="M635" s="15"/>
      <c r="N635" s="15"/>
      <c r="O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6"/>
      <c r="L636" s="16"/>
      <c r="M636" s="15"/>
      <c r="N636" s="15"/>
      <c r="O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6"/>
      <c r="L637" s="16"/>
      <c r="M637" s="15"/>
      <c r="N637" s="15"/>
      <c r="O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6"/>
      <c r="L638" s="16"/>
      <c r="M638" s="15"/>
      <c r="N638" s="15"/>
      <c r="O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6"/>
      <c r="L639" s="16"/>
      <c r="M639" s="15"/>
      <c r="N639" s="15"/>
      <c r="O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6"/>
      <c r="L640" s="16"/>
      <c r="M640" s="15"/>
      <c r="N640" s="15"/>
      <c r="O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6"/>
      <c r="L641" s="16"/>
      <c r="M641" s="15"/>
      <c r="N641" s="15"/>
      <c r="O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6"/>
      <c r="L642" s="16"/>
      <c r="M642" s="15"/>
      <c r="N642" s="15"/>
      <c r="O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6"/>
      <c r="L643" s="16"/>
      <c r="M643" s="15"/>
      <c r="N643" s="15"/>
      <c r="O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6"/>
      <c r="L644" s="16"/>
      <c r="M644" s="15"/>
      <c r="N644" s="15"/>
      <c r="O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6"/>
      <c r="L645" s="16"/>
      <c r="M645" s="15"/>
      <c r="N645" s="15"/>
      <c r="O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6"/>
      <c r="L646" s="16"/>
      <c r="M646" s="15"/>
      <c r="N646" s="15"/>
      <c r="O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6"/>
      <c r="L647" s="16"/>
      <c r="M647" s="15"/>
      <c r="N647" s="15"/>
      <c r="O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6"/>
      <c r="L648" s="16"/>
      <c r="M648" s="15"/>
      <c r="N648" s="15"/>
      <c r="O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6"/>
      <c r="L649" s="16"/>
      <c r="M649" s="15"/>
      <c r="N649" s="15"/>
      <c r="O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6"/>
      <c r="L650" s="16"/>
      <c r="M650" s="15"/>
      <c r="N650" s="15"/>
      <c r="O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6"/>
      <c r="L651" s="16"/>
      <c r="M651" s="15"/>
      <c r="N651" s="15"/>
      <c r="O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6"/>
      <c r="L652" s="16"/>
      <c r="M652" s="15"/>
      <c r="N652" s="15"/>
      <c r="O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6"/>
      <c r="L653" s="16"/>
      <c r="M653" s="15"/>
      <c r="N653" s="15"/>
      <c r="O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6"/>
      <c r="L654" s="16"/>
      <c r="M654" s="15"/>
      <c r="N654" s="15"/>
      <c r="O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6"/>
      <c r="L655" s="16"/>
      <c r="M655" s="15"/>
      <c r="N655" s="15"/>
      <c r="O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6"/>
      <c r="L656" s="16"/>
      <c r="M656" s="15"/>
      <c r="N656" s="15"/>
      <c r="O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6"/>
      <c r="L657" s="16"/>
      <c r="M657" s="15"/>
      <c r="N657" s="15"/>
      <c r="O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6"/>
      <c r="L658" s="16"/>
      <c r="M658" s="15"/>
      <c r="N658" s="15"/>
      <c r="O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6"/>
      <c r="L659" s="16"/>
      <c r="M659" s="15"/>
      <c r="N659" s="15"/>
      <c r="O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6"/>
      <c r="L660" s="16"/>
      <c r="M660" s="15"/>
      <c r="N660" s="15"/>
      <c r="O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6"/>
      <c r="L661" s="16"/>
      <c r="M661" s="15"/>
      <c r="N661" s="15"/>
      <c r="O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6"/>
      <c r="L662" s="16"/>
      <c r="M662" s="15"/>
      <c r="N662" s="15"/>
      <c r="O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6"/>
      <c r="L663" s="16"/>
      <c r="M663" s="15"/>
      <c r="N663" s="15"/>
      <c r="O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6"/>
      <c r="L664" s="16"/>
      <c r="M664" s="15"/>
      <c r="N664" s="15"/>
      <c r="O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6"/>
      <c r="L665" s="16"/>
      <c r="M665" s="15"/>
      <c r="N665" s="15"/>
      <c r="O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6"/>
      <c r="L666" s="16"/>
      <c r="M666" s="15"/>
      <c r="N666" s="15"/>
      <c r="O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6"/>
      <c r="L667" s="16"/>
      <c r="M667" s="15"/>
      <c r="N667" s="15"/>
      <c r="O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6"/>
      <c r="L668" s="16"/>
      <c r="M668" s="15"/>
      <c r="N668" s="15"/>
      <c r="O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6"/>
      <c r="L669" s="16"/>
      <c r="M669" s="15"/>
      <c r="N669" s="15"/>
      <c r="O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6"/>
      <c r="L670" s="16"/>
      <c r="M670" s="15"/>
      <c r="N670" s="15"/>
      <c r="O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6"/>
      <c r="L671" s="16"/>
      <c r="M671" s="15"/>
      <c r="N671" s="15"/>
      <c r="O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6"/>
      <c r="L672" s="16"/>
      <c r="M672" s="15"/>
      <c r="N672" s="15"/>
      <c r="O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6"/>
      <c r="L673" s="16"/>
      <c r="M673" s="15"/>
      <c r="N673" s="15"/>
      <c r="O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6"/>
      <c r="L674" s="16"/>
      <c r="M674" s="15"/>
      <c r="N674" s="15"/>
      <c r="O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6"/>
      <c r="L675" s="16"/>
      <c r="M675" s="15"/>
      <c r="N675" s="15"/>
      <c r="O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6"/>
      <c r="L676" s="16"/>
      <c r="M676" s="15"/>
      <c r="N676" s="15"/>
      <c r="O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6"/>
      <c r="L677" s="16"/>
      <c r="M677" s="15"/>
      <c r="N677" s="15"/>
      <c r="O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6"/>
      <c r="L678" s="16"/>
      <c r="M678" s="15"/>
      <c r="N678" s="15"/>
      <c r="O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6"/>
      <c r="L679" s="16"/>
      <c r="M679" s="15"/>
      <c r="N679" s="15"/>
      <c r="O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6"/>
      <c r="L680" s="16"/>
      <c r="M680" s="15"/>
      <c r="N680" s="15"/>
      <c r="O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6"/>
      <c r="L681" s="16"/>
      <c r="M681" s="15"/>
      <c r="N681" s="15"/>
      <c r="O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6"/>
      <c r="L682" s="16"/>
      <c r="M682" s="15"/>
      <c r="N682" s="15"/>
      <c r="O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6"/>
      <c r="L683" s="16"/>
      <c r="M683" s="15"/>
      <c r="N683" s="15"/>
      <c r="O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16"/>
      <c r="M684" s="15"/>
      <c r="N684" s="15"/>
      <c r="O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6"/>
      <c r="L685" s="16"/>
      <c r="M685" s="15"/>
      <c r="N685" s="15"/>
      <c r="O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6"/>
      <c r="L686" s="16"/>
      <c r="M686" s="15"/>
      <c r="N686" s="15"/>
      <c r="O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6"/>
      <c r="L687" s="16"/>
      <c r="M687" s="15"/>
      <c r="N687" s="15"/>
      <c r="O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6"/>
      <c r="L688" s="16"/>
      <c r="M688" s="15"/>
      <c r="N688" s="15"/>
      <c r="O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6"/>
      <c r="L689" s="16"/>
      <c r="M689" s="15"/>
      <c r="N689" s="15"/>
      <c r="O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6"/>
      <c r="L690" s="16"/>
      <c r="M690" s="15"/>
      <c r="N690" s="15"/>
      <c r="O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6"/>
      <c r="L691" s="16"/>
      <c r="M691" s="15"/>
      <c r="N691" s="15"/>
      <c r="O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6"/>
      <c r="L692" s="16"/>
      <c r="M692" s="15"/>
      <c r="N692" s="15"/>
      <c r="O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6"/>
      <c r="L693" s="16"/>
      <c r="M693" s="15"/>
      <c r="N693" s="15"/>
      <c r="O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6"/>
      <c r="L694" s="16"/>
      <c r="M694" s="15"/>
      <c r="N694" s="15"/>
      <c r="O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6"/>
      <c r="L695" s="16"/>
      <c r="M695" s="15"/>
      <c r="N695" s="15"/>
      <c r="O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6"/>
      <c r="L696" s="16"/>
      <c r="M696" s="15"/>
      <c r="N696" s="15"/>
      <c r="O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6"/>
      <c r="L697" s="16"/>
      <c r="M697" s="15"/>
      <c r="N697" s="15"/>
      <c r="O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6"/>
      <c r="L698" s="16"/>
      <c r="M698" s="15"/>
      <c r="N698" s="15"/>
      <c r="O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6"/>
      <c r="L699" s="16"/>
      <c r="M699" s="15"/>
      <c r="N699" s="15"/>
      <c r="O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6"/>
      <c r="L700" s="16"/>
      <c r="M700" s="15"/>
      <c r="N700" s="15"/>
      <c r="O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6"/>
      <c r="L701" s="16"/>
      <c r="M701" s="15"/>
      <c r="N701" s="15"/>
      <c r="O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6"/>
      <c r="L702" s="16"/>
      <c r="M702" s="15"/>
      <c r="N702" s="15"/>
      <c r="O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6"/>
      <c r="L703" s="16"/>
      <c r="M703" s="15"/>
      <c r="N703" s="15"/>
      <c r="O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6"/>
      <c r="L704" s="16"/>
      <c r="M704" s="15"/>
      <c r="N704" s="15"/>
      <c r="O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6"/>
      <c r="L705" s="16"/>
      <c r="M705" s="15"/>
      <c r="N705" s="15"/>
      <c r="O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6"/>
      <c r="L706" s="16"/>
      <c r="M706" s="15"/>
      <c r="N706" s="15"/>
      <c r="O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6"/>
      <c r="L707" s="16"/>
      <c r="M707" s="15"/>
      <c r="N707" s="15"/>
      <c r="O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6"/>
      <c r="L708" s="16"/>
      <c r="M708" s="15"/>
      <c r="N708" s="15"/>
      <c r="O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6"/>
      <c r="L709" s="16"/>
      <c r="M709" s="15"/>
      <c r="N709" s="15"/>
      <c r="O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6"/>
      <c r="L710" s="16"/>
      <c r="M710" s="15"/>
      <c r="N710" s="15"/>
      <c r="O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6"/>
      <c r="L711" s="16"/>
      <c r="M711" s="15"/>
      <c r="N711" s="15"/>
      <c r="O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6"/>
      <c r="L712" s="16"/>
      <c r="M712" s="15"/>
      <c r="N712" s="15"/>
      <c r="O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6"/>
      <c r="L713" s="16"/>
      <c r="M713" s="15"/>
      <c r="N713" s="15"/>
      <c r="O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6"/>
      <c r="L714" s="16"/>
      <c r="M714" s="15"/>
      <c r="N714" s="15"/>
      <c r="O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6"/>
      <c r="L715" s="16"/>
      <c r="M715" s="15"/>
      <c r="N715" s="15"/>
      <c r="O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6"/>
      <c r="L716" s="16"/>
      <c r="M716" s="15"/>
      <c r="N716" s="15"/>
      <c r="O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6"/>
      <c r="L717" s="16"/>
      <c r="M717" s="15"/>
      <c r="N717" s="15"/>
      <c r="O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6"/>
      <c r="L718" s="16"/>
      <c r="M718" s="15"/>
      <c r="N718" s="15"/>
      <c r="O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6"/>
      <c r="L719" s="16"/>
      <c r="M719" s="15"/>
      <c r="N719" s="15"/>
      <c r="O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6"/>
      <c r="L720" s="16"/>
      <c r="M720" s="15"/>
      <c r="N720" s="15"/>
      <c r="O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6"/>
      <c r="L721" s="16"/>
      <c r="M721" s="15"/>
      <c r="N721" s="15"/>
      <c r="O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6"/>
      <c r="L722" s="16"/>
      <c r="M722" s="15"/>
      <c r="N722" s="15"/>
      <c r="O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6"/>
      <c r="L723" s="16"/>
      <c r="M723" s="15"/>
      <c r="N723" s="15"/>
      <c r="O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6"/>
      <c r="L724" s="16"/>
      <c r="M724" s="15"/>
      <c r="N724" s="15"/>
      <c r="O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6"/>
      <c r="L725" s="16"/>
      <c r="M725" s="15"/>
      <c r="N725" s="15"/>
      <c r="O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6"/>
      <c r="L726" s="16"/>
      <c r="M726" s="15"/>
      <c r="N726" s="15"/>
      <c r="O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6"/>
      <c r="L727" s="16"/>
      <c r="M727" s="15"/>
      <c r="N727" s="15"/>
      <c r="O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6"/>
      <c r="L728" s="16"/>
      <c r="M728" s="15"/>
      <c r="N728" s="15"/>
      <c r="O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6"/>
      <c r="L729" s="16"/>
      <c r="M729" s="15"/>
      <c r="N729" s="15"/>
      <c r="O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6"/>
      <c r="L730" s="16"/>
      <c r="M730" s="15"/>
      <c r="N730" s="15"/>
      <c r="O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6"/>
      <c r="L731" s="16"/>
      <c r="M731" s="15"/>
      <c r="N731" s="15"/>
      <c r="O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6"/>
      <c r="L732" s="16"/>
      <c r="M732" s="15"/>
      <c r="N732" s="15"/>
      <c r="O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6"/>
      <c r="L733" s="16"/>
      <c r="M733" s="15"/>
      <c r="N733" s="15"/>
      <c r="O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6"/>
      <c r="L734" s="16"/>
      <c r="M734" s="15"/>
      <c r="N734" s="15"/>
      <c r="O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6"/>
      <c r="L735" s="16"/>
      <c r="M735" s="15"/>
      <c r="N735" s="15"/>
      <c r="O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6"/>
      <c r="L736" s="16"/>
      <c r="M736" s="15"/>
      <c r="N736" s="15"/>
      <c r="O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6"/>
      <c r="L737" s="16"/>
      <c r="M737" s="15"/>
      <c r="N737" s="15"/>
      <c r="O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6"/>
      <c r="L738" s="16"/>
      <c r="M738" s="15"/>
      <c r="N738" s="15"/>
      <c r="O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6"/>
      <c r="L739" s="16"/>
      <c r="M739" s="15"/>
      <c r="N739" s="15"/>
      <c r="O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6"/>
      <c r="L740" s="16"/>
      <c r="M740" s="15"/>
      <c r="N740" s="15"/>
      <c r="O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6"/>
      <c r="L741" s="16"/>
      <c r="M741" s="15"/>
      <c r="N741" s="15"/>
      <c r="O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6"/>
      <c r="L742" s="16"/>
      <c r="M742" s="15"/>
      <c r="N742" s="15"/>
      <c r="O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6"/>
      <c r="L743" s="16"/>
      <c r="M743" s="15"/>
      <c r="N743" s="15"/>
      <c r="O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6"/>
      <c r="L744" s="16"/>
      <c r="M744" s="15"/>
      <c r="N744" s="15"/>
      <c r="O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6"/>
      <c r="L745" s="16"/>
      <c r="M745" s="15"/>
      <c r="N745" s="15"/>
      <c r="O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6"/>
      <c r="L746" s="16"/>
      <c r="M746" s="15"/>
      <c r="N746" s="15"/>
      <c r="O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6"/>
      <c r="L747" s="16"/>
      <c r="M747" s="15"/>
      <c r="N747" s="15"/>
      <c r="O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6"/>
      <c r="L748" s="16"/>
      <c r="M748" s="15"/>
      <c r="N748" s="15"/>
      <c r="O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6"/>
      <c r="L749" s="16"/>
      <c r="M749" s="15"/>
      <c r="N749" s="15"/>
      <c r="O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6"/>
      <c r="L750" s="16"/>
      <c r="M750" s="15"/>
      <c r="N750" s="15"/>
      <c r="O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6"/>
      <c r="L751" s="16"/>
      <c r="M751" s="15"/>
      <c r="N751" s="15"/>
      <c r="O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6"/>
      <c r="L752" s="16"/>
      <c r="M752" s="15"/>
      <c r="N752" s="15"/>
      <c r="O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6"/>
      <c r="L753" s="16"/>
      <c r="M753" s="15"/>
      <c r="N753" s="15"/>
      <c r="O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6"/>
      <c r="L754" s="16"/>
      <c r="M754" s="15"/>
      <c r="N754" s="15"/>
      <c r="O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6"/>
      <c r="L755" s="16"/>
      <c r="M755" s="15"/>
      <c r="N755" s="15"/>
      <c r="O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6"/>
      <c r="L756" s="16"/>
      <c r="M756" s="15"/>
      <c r="N756" s="15"/>
      <c r="O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6"/>
      <c r="L757" s="16"/>
      <c r="M757" s="15"/>
      <c r="N757" s="15"/>
      <c r="O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6"/>
      <c r="L758" s="16"/>
      <c r="M758" s="15"/>
      <c r="N758" s="15"/>
      <c r="O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6"/>
      <c r="L759" s="16"/>
      <c r="M759" s="15"/>
      <c r="N759" s="15"/>
      <c r="O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6"/>
      <c r="L760" s="16"/>
      <c r="M760" s="15"/>
      <c r="N760" s="15"/>
      <c r="O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6"/>
      <c r="L761" s="16"/>
      <c r="M761" s="15"/>
      <c r="N761" s="15"/>
      <c r="O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6"/>
      <c r="L762" s="16"/>
      <c r="M762" s="15"/>
      <c r="N762" s="15"/>
      <c r="O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6"/>
      <c r="L763" s="16"/>
      <c r="M763" s="15"/>
      <c r="N763" s="15"/>
      <c r="O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6"/>
      <c r="L764" s="16"/>
      <c r="M764" s="15"/>
      <c r="N764" s="15"/>
      <c r="O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6"/>
      <c r="L765" s="16"/>
      <c r="M765" s="15"/>
      <c r="N765" s="15"/>
      <c r="O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6"/>
      <c r="L766" s="16"/>
      <c r="M766" s="15"/>
      <c r="N766" s="15"/>
      <c r="O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6"/>
      <c r="L767" s="16"/>
      <c r="M767" s="15"/>
      <c r="N767" s="15"/>
      <c r="O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6"/>
      <c r="L768" s="16"/>
      <c r="M768" s="15"/>
      <c r="N768" s="15"/>
      <c r="O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6"/>
      <c r="L769" s="16"/>
      <c r="M769" s="15"/>
      <c r="N769" s="15"/>
      <c r="O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6"/>
      <c r="L770" s="16"/>
      <c r="M770" s="15"/>
      <c r="N770" s="15"/>
      <c r="O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6"/>
      <c r="L771" s="16"/>
      <c r="M771" s="15"/>
      <c r="N771" s="15"/>
      <c r="O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6"/>
      <c r="L772" s="16"/>
      <c r="M772" s="15"/>
      <c r="N772" s="15"/>
      <c r="O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6"/>
      <c r="L773" s="16"/>
      <c r="M773" s="15"/>
      <c r="N773" s="15"/>
      <c r="O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6"/>
      <c r="L774" s="16"/>
      <c r="M774" s="15"/>
      <c r="N774" s="15"/>
      <c r="O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6"/>
      <c r="L775" s="16"/>
      <c r="M775" s="15"/>
      <c r="N775" s="15"/>
      <c r="O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6"/>
      <c r="L776" s="16"/>
      <c r="M776" s="15"/>
      <c r="N776" s="15"/>
      <c r="O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6"/>
      <c r="L777" s="16"/>
      <c r="M777" s="15"/>
      <c r="N777" s="15"/>
      <c r="O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6"/>
      <c r="L778" s="16"/>
      <c r="M778" s="15"/>
      <c r="N778" s="15"/>
      <c r="O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6"/>
      <c r="L779" s="16"/>
      <c r="M779" s="15"/>
      <c r="N779" s="15"/>
      <c r="O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6"/>
      <c r="L780" s="16"/>
      <c r="M780" s="15"/>
      <c r="N780" s="15"/>
      <c r="O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6"/>
      <c r="L781" s="16"/>
      <c r="M781" s="15"/>
      <c r="N781" s="15"/>
      <c r="O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6"/>
      <c r="L782" s="16"/>
      <c r="M782" s="15"/>
      <c r="N782" s="15"/>
      <c r="O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6"/>
      <c r="L783" s="16"/>
      <c r="M783" s="15"/>
      <c r="N783" s="15"/>
      <c r="O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6"/>
      <c r="L784" s="16"/>
      <c r="M784" s="15"/>
      <c r="N784" s="15"/>
      <c r="O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6"/>
      <c r="L785" s="16"/>
      <c r="M785" s="15"/>
      <c r="N785" s="15"/>
      <c r="O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6"/>
      <c r="L786" s="16"/>
      <c r="M786" s="15"/>
      <c r="N786" s="15"/>
      <c r="O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6"/>
      <c r="L787" s="16"/>
      <c r="M787" s="15"/>
      <c r="N787" s="15"/>
      <c r="O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6"/>
      <c r="L788" s="16"/>
      <c r="M788" s="15"/>
      <c r="N788" s="15"/>
      <c r="O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6"/>
      <c r="L789" s="16"/>
      <c r="M789" s="15"/>
      <c r="N789" s="15"/>
      <c r="O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6"/>
      <c r="L790" s="16"/>
      <c r="M790" s="15"/>
      <c r="N790" s="15"/>
      <c r="O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6"/>
      <c r="L791" s="16"/>
      <c r="M791" s="15"/>
      <c r="N791" s="15"/>
      <c r="O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6"/>
      <c r="L792" s="16"/>
      <c r="M792" s="15"/>
      <c r="N792" s="15"/>
      <c r="O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6"/>
      <c r="L793" s="16"/>
      <c r="M793" s="15"/>
      <c r="N793" s="15"/>
      <c r="O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6"/>
      <c r="L794" s="16"/>
      <c r="M794" s="15"/>
      <c r="N794" s="15"/>
      <c r="O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6"/>
      <c r="L795" s="16"/>
      <c r="M795" s="15"/>
      <c r="N795" s="15"/>
      <c r="O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6"/>
      <c r="L796" s="16"/>
      <c r="M796" s="15"/>
      <c r="N796" s="15"/>
      <c r="O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6"/>
      <c r="L797" s="16"/>
      <c r="M797" s="15"/>
      <c r="N797" s="15"/>
      <c r="O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6"/>
      <c r="L798" s="16"/>
      <c r="M798" s="15"/>
      <c r="N798" s="15"/>
      <c r="O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6"/>
      <c r="L799" s="16"/>
      <c r="M799" s="15"/>
      <c r="N799" s="15"/>
      <c r="O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6"/>
      <c r="L800" s="16"/>
      <c r="M800" s="15"/>
      <c r="N800" s="15"/>
      <c r="O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6"/>
      <c r="L801" s="16"/>
      <c r="M801" s="15"/>
      <c r="N801" s="15"/>
      <c r="O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6"/>
      <c r="L802" s="16"/>
      <c r="M802" s="15"/>
      <c r="N802" s="15"/>
      <c r="O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6"/>
      <c r="L803" s="16"/>
      <c r="M803" s="15"/>
      <c r="N803" s="15"/>
      <c r="O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6"/>
      <c r="L804" s="16"/>
      <c r="M804" s="15"/>
      <c r="N804" s="15"/>
      <c r="O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6"/>
      <c r="L805" s="16"/>
      <c r="M805" s="15"/>
      <c r="N805" s="15"/>
      <c r="O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6"/>
      <c r="L806" s="16"/>
      <c r="M806" s="15"/>
      <c r="N806" s="15"/>
      <c r="O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6"/>
      <c r="L807" s="16"/>
      <c r="M807" s="15"/>
      <c r="N807" s="15"/>
      <c r="O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6"/>
      <c r="L808" s="16"/>
      <c r="M808" s="15"/>
      <c r="N808" s="15"/>
      <c r="O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6"/>
      <c r="L809" s="16"/>
      <c r="M809" s="15"/>
      <c r="N809" s="15"/>
      <c r="O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6"/>
      <c r="L810" s="16"/>
      <c r="M810" s="15"/>
      <c r="N810" s="15"/>
      <c r="O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6"/>
      <c r="L811" s="16"/>
      <c r="M811" s="15"/>
      <c r="N811" s="15"/>
      <c r="O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6"/>
      <c r="L812" s="16"/>
      <c r="M812" s="15"/>
      <c r="N812" s="15"/>
      <c r="O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6"/>
      <c r="L813" s="16"/>
      <c r="M813" s="15"/>
      <c r="N813" s="15"/>
      <c r="O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6"/>
      <c r="L814" s="16"/>
      <c r="M814" s="15"/>
      <c r="N814" s="15"/>
      <c r="O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6"/>
      <c r="L815" s="16"/>
      <c r="M815" s="15"/>
      <c r="N815" s="15"/>
      <c r="O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6"/>
      <c r="L816" s="16"/>
      <c r="M816" s="15"/>
      <c r="N816" s="15"/>
      <c r="O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6"/>
      <c r="L817" s="16"/>
      <c r="M817" s="15"/>
      <c r="N817" s="15"/>
      <c r="O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6"/>
      <c r="L818" s="16"/>
      <c r="M818" s="15"/>
      <c r="N818" s="15"/>
      <c r="O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6"/>
      <c r="L819" s="16"/>
      <c r="M819" s="15"/>
      <c r="N819" s="15"/>
      <c r="O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6"/>
      <c r="L820" s="16"/>
      <c r="M820" s="15"/>
      <c r="N820" s="15"/>
      <c r="O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6"/>
      <c r="L821" s="16"/>
      <c r="M821" s="15"/>
      <c r="N821" s="15"/>
      <c r="O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6"/>
      <c r="L822" s="16"/>
      <c r="M822" s="15"/>
      <c r="N822" s="15"/>
      <c r="O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6"/>
      <c r="L823" s="16"/>
      <c r="M823" s="15"/>
      <c r="N823" s="15"/>
      <c r="O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6"/>
      <c r="L824" s="16"/>
      <c r="M824" s="15"/>
      <c r="N824" s="15"/>
      <c r="O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6"/>
      <c r="L825" s="16"/>
      <c r="M825" s="15"/>
      <c r="N825" s="15"/>
      <c r="O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6"/>
      <c r="L826" s="16"/>
      <c r="M826" s="15"/>
      <c r="N826" s="15"/>
      <c r="O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6"/>
      <c r="L827" s="16"/>
      <c r="M827" s="15"/>
      <c r="N827" s="15"/>
      <c r="O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6"/>
      <c r="L828" s="16"/>
      <c r="M828" s="15"/>
      <c r="N828" s="15"/>
      <c r="O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6"/>
      <c r="L829" s="16"/>
      <c r="M829" s="15"/>
      <c r="N829" s="15"/>
      <c r="O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6"/>
      <c r="L830" s="16"/>
      <c r="M830" s="15"/>
      <c r="N830" s="15"/>
      <c r="O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6"/>
      <c r="L831" s="16"/>
      <c r="M831" s="15"/>
      <c r="N831" s="15"/>
      <c r="O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6"/>
      <c r="L832" s="16"/>
      <c r="M832" s="15"/>
      <c r="N832" s="15"/>
      <c r="O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6"/>
      <c r="L833" s="16"/>
      <c r="M833" s="15"/>
      <c r="N833" s="15"/>
      <c r="O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6"/>
      <c r="L834" s="16"/>
      <c r="M834" s="15"/>
      <c r="N834" s="15"/>
      <c r="O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6"/>
      <c r="L835" s="16"/>
      <c r="M835" s="15"/>
      <c r="N835" s="15"/>
      <c r="O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6"/>
      <c r="L836" s="16"/>
      <c r="M836" s="15"/>
      <c r="N836" s="15"/>
      <c r="O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6"/>
      <c r="L837" s="16"/>
      <c r="M837" s="15"/>
      <c r="N837" s="15"/>
      <c r="O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6"/>
      <c r="L838" s="16"/>
      <c r="M838" s="15"/>
      <c r="N838" s="15"/>
      <c r="O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6"/>
      <c r="L839" s="16"/>
      <c r="M839" s="15"/>
      <c r="N839" s="15"/>
      <c r="O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6"/>
      <c r="L840" s="16"/>
      <c r="M840" s="15"/>
      <c r="N840" s="15"/>
      <c r="O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6"/>
      <c r="L841" s="16"/>
      <c r="M841" s="15"/>
      <c r="N841" s="15"/>
      <c r="O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6"/>
      <c r="L842" s="16"/>
      <c r="M842" s="15"/>
      <c r="N842" s="15"/>
      <c r="O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6"/>
      <c r="L843" s="16"/>
      <c r="M843" s="15"/>
      <c r="N843" s="15"/>
      <c r="O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6"/>
      <c r="L844" s="16"/>
      <c r="M844" s="15"/>
      <c r="N844" s="15"/>
      <c r="O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6"/>
      <c r="L845" s="16"/>
      <c r="M845" s="15"/>
      <c r="N845" s="15"/>
      <c r="O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6"/>
      <c r="L846" s="16"/>
      <c r="M846" s="15"/>
      <c r="N846" s="15"/>
      <c r="O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6"/>
      <c r="L847" s="16"/>
      <c r="M847" s="15"/>
      <c r="N847" s="15"/>
      <c r="O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6"/>
      <c r="L848" s="16"/>
      <c r="M848" s="15"/>
      <c r="N848" s="15"/>
      <c r="O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6"/>
      <c r="L849" s="16"/>
      <c r="M849" s="15"/>
      <c r="N849" s="15"/>
      <c r="O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6"/>
      <c r="L850" s="16"/>
      <c r="M850" s="15"/>
      <c r="N850" s="15"/>
      <c r="O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6"/>
      <c r="L851" s="16"/>
      <c r="M851" s="15"/>
      <c r="N851" s="15"/>
      <c r="O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6"/>
      <c r="L852" s="16"/>
      <c r="M852" s="15"/>
      <c r="N852" s="15"/>
      <c r="O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6"/>
      <c r="L853" s="16"/>
      <c r="M853" s="15"/>
      <c r="N853" s="15"/>
      <c r="O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6"/>
      <c r="L854" s="16"/>
      <c r="M854" s="15"/>
      <c r="N854" s="15"/>
      <c r="O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6"/>
      <c r="L855" s="16"/>
      <c r="M855" s="15"/>
      <c r="N855" s="15"/>
      <c r="O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6"/>
      <c r="L856" s="16"/>
      <c r="M856" s="15"/>
      <c r="N856" s="15"/>
      <c r="O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6"/>
      <c r="L857" s="16"/>
      <c r="M857" s="15"/>
      <c r="N857" s="15"/>
      <c r="O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6"/>
      <c r="L858" s="16"/>
      <c r="M858" s="15"/>
      <c r="N858" s="15"/>
      <c r="O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6"/>
      <c r="L859" s="16"/>
      <c r="M859" s="15"/>
      <c r="N859" s="15"/>
      <c r="O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6"/>
      <c r="L860" s="16"/>
      <c r="M860" s="15"/>
      <c r="N860" s="15"/>
      <c r="O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6"/>
      <c r="L861" s="16"/>
      <c r="M861" s="15"/>
      <c r="N861" s="15"/>
      <c r="O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6"/>
      <c r="L862" s="16"/>
      <c r="M862" s="15"/>
      <c r="N862" s="15"/>
      <c r="O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6"/>
      <c r="L863" s="16"/>
      <c r="M863" s="15"/>
      <c r="N863" s="15"/>
      <c r="O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6"/>
      <c r="L864" s="16"/>
      <c r="M864" s="15"/>
      <c r="N864" s="15"/>
      <c r="O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6"/>
      <c r="L865" s="16"/>
      <c r="M865" s="15"/>
      <c r="N865" s="15"/>
      <c r="O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6"/>
      <c r="L866" s="16"/>
      <c r="M866" s="15"/>
      <c r="N866" s="15"/>
      <c r="O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6"/>
      <c r="L867" s="16"/>
      <c r="M867" s="15"/>
      <c r="N867" s="15"/>
      <c r="O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6"/>
      <c r="L868" s="16"/>
      <c r="M868" s="15"/>
      <c r="N868" s="15"/>
      <c r="O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6"/>
      <c r="L869" s="16"/>
      <c r="M869" s="15"/>
      <c r="N869" s="15"/>
      <c r="O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6"/>
      <c r="L870" s="16"/>
      <c r="M870" s="15"/>
      <c r="N870" s="15"/>
      <c r="O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6"/>
      <c r="L871" s="16"/>
      <c r="M871" s="15"/>
      <c r="N871" s="15"/>
      <c r="O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6"/>
      <c r="L872" s="16"/>
      <c r="M872" s="15"/>
      <c r="N872" s="15"/>
      <c r="O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6"/>
      <c r="L873" s="16"/>
      <c r="M873" s="15"/>
      <c r="N873" s="15"/>
      <c r="O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6"/>
      <c r="L874" s="16"/>
      <c r="M874" s="15"/>
      <c r="N874" s="15"/>
      <c r="O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6"/>
      <c r="L875" s="16"/>
      <c r="M875" s="15"/>
      <c r="N875" s="15"/>
      <c r="O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6"/>
      <c r="L876" s="16"/>
      <c r="M876" s="15"/>
      <c r="N876" s="15"/>
      <c r="O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6"/>
      <c r="L877" s="16"/>
      <c r="M877" s="15"/>
      <c r="N877" s="15"/>
      <c r="O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6"/>
      <c r="L878" s="16"/>
      <c r="M878" s="15"/>
      <c r="N878" s="15"/>
      <c r="O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6"/>
      <c r="L879" s="16"/>
      <c r="M879" s="15"/>
      <c r="N879" s="15"/>
      <c r="O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6"/>
      <c r="L880" s="16"/>
      <c r="M880" s="15"/>
      <c r="N880" s="15"/>
      <c r="O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6"/>
      <c r="L881" s="16"/>
      <c r="M881" s="15"/>
      <c r="N881" s="15"/>
      <c r="O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6"/>
      <c r="L882" s="16"/>
      <c r="M882" s="15"/>
      <c r="N882" s="15"/>
      <c r="O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6"/>
      <c r="L883" s="16"/>
      <c r="M883" s="15"/>
      <c r="N883" s="15"/>
      <c r="O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6"/>
      <c r="L884" s="16"/>
      <c r="M884" s="15"/>
      <c r="N884" s="15"/>
      <c r="O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6"/>
      <c r="L885" s="16"/>
      <c r="M885" s="15"/>
      <c r="N885" s="15"/>
      <c r="O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6"/>
      <c r="L886" s="16"/>
      <c r="M886" s="15"/>
      <c r="N886" s="15"/>
      <c r="O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6"/>
      <c r="L887" s="16"/>
      <c r="M887" s="15"/>
      <c r="N887" s="15"/>
      <c r="O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6"/>
      <c r="L888" s="16"/>
      <c r="M888" s="15"/>
      <c r="N888" s="15"/>
      <c r="O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6"/>
      <c r="L889" s="16"/>
      <c r="M889" s="15"/>
      <c r="N889" s="15"/>
      <c r="O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6"/>
      <c r="L890" s="16"/>
      <c r="M890" s="15"/>
      <c r="N890" s="15"/>
      <c r="O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6"/>
      <c r="L891" s="16"/>
      <c r="M891" s="15"/>
      <c r="N891" s="15"/>
      <c r="O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6"/>
      <c r="L892" s="16"/>
      <c r="M892" s="15"/>
      <c r="N892" s="15"/>
      <c r="O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6"/>
      <c r="L893" s="16"/>
      <c r="M893" s="15"/>
      <c r="N893" s="15"/>
      <c r="O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6"/>
      <c r="L894" s="16"/>
      <c r="M894" s="15"/>
      <c r="N894" s="15"/>
      <c r="O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6"/>
      <c r="L895" s="16"/>
      <c r="M895" s="15"/>
      <c r="N895" s="15"/>
      <c r="O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6"/>
      <c r="L896" s="16"/>
      <c r="M896" s="15"/>
      <c r="N896" s="15"/>
      <c r="O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6"/>
      <c r="L897" s="16"/>
      <c r="M897" s="15"/>
      <c r="N897" s="15"/>
      <c r="O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6"/>
      <c r="L898" s="16"/>
      <c r="M898" s="15"/>
      <c r="N898" s="15"/>
      <c r="O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6"/>
      <c r="L899" s="16"/>
      <c r="M899" s="15"/>
      <c r="N899" s="15"/>
      <c r="O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6"/>
      <c r="L900" s="16"/>
      <c r="M900" s="15"/>
      <c r="N900" s="15"/>
      <c r="O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6"/>
      <c r="L901" s="16"/>
      <c r="M901" s="15"/>
      <c r="N901" s="15"/>
      <c r="O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6"/>
      <c r="L902" s="16"/>
      <c r="M902" s="15"/>
      <c r="N902" s="15"/>
      <c r="O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6"/>
      <c r="L903" s="16"/>
      <c r="M903" s="15"/>
      <c r="N903" s="15"/>
      <c r="O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6"/>
      <c r="L904" s="16"/>
      <c r="M904" s="15"/>
      <c r="N904" s="15"/>
      <c r="O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6"/>
      <c r="L905" s="16"/>
      <c r="M905" s="15"/>
      <c r="N905" s="15"/>
      <c r="O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6"/>
      <c r="L906" s="16"/>
      <c r="M906" s="15"/>
      <c r="N906" s="15"/>
      <c r="O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6"/>
      <c r="L907" s="16"/>
      <c r="M907" s="15"/>
      <c r="N907" s="15"/>
      <c r="O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6"/>
      <c r="L908" s="16"/>
      <c r="M908" s="15"/>
      <c r="N908" s="15"/>
      <c r="O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6"/>
      <c r="L909" s="16"/>
      <c r="M909" s="15"/>
      <c r="N909" s="15"/>
      <c r="O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6"/>
      <c r="L910" s="16"/>
      <c r="M910" s="15"/>
      <c r="N910" s="15"/>
      <c r="O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6"/>
      <c r="L911" s="16"/>
      <c r="M911" s="15"/>
      <c r="N911" s="15"/>
      <c r="O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6"/>
      <c r="L912" s="16"/>
      <c r="M912" s="15"/>
      <c r="N912" s="15"/>
      <c r="O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6"/>
      <c r="L913" s="16"/>
      <c r="M913" s="15"/>
      <c r="N913" s="15"/>
      <c r="O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6"/>
      <c r="L914" s="16"/>
      <c r="M914" s="15"/>
      <c r="N914" s="15"/>
      <c r="O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6"/>
      <c r="L915" s="16"/>
      <c r="M915" s="15"/>
      <c r="N915" s="15"/>
      <c r="O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6"/>
      <c r="L916" s="16"/>
      <c r="M916" s="15"/>
      <c r="N916" s="15"/>
      <c r="O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6"/>
      <c r="L917" s="16"/>
      <c r="M917" s="15"/>
      <c r="N917" s="15"/>
      <c r="O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6"/>
      <c r="L918" s="16"/>
      <c r="M918" s="15"/>
      <c r="N918" s="15"/>
      <c r="O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6"/>
      <c r="L919" s="16"/>
      <c r="M919" s="15"/>
      <c r="N919" s="15"/>
      <c r="O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6"/>
      <c r="L920" s="16"/>
      <c r="M920" s="15"/>
      <c r="N920" s="15"/>
      <c r="O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6"/>
      <c r="L921" s="16"/>
      <c r="M921" s="15"/>
      <c r="N921" s="15"/>
      <c r="O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6"/>
      <c r="L922" s="16"/>
      <c r="M922" s="15"/>
      <c r="N922" s="15"/>
      <c r="O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6"/>
      <c r="L923" s="16"/>
      <c r="M923" s="15"/>
      <c r="N923" s="15"/>
      <c r="O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6"/>
      <c r="L924" s="16"/>
      <c r="M924" s="15"/>
      <c r="N924" s="15"/>
      <c r="O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6"/>
      <c r="L925" s="16"/>
      <c r="M925" s="15"/>
      <c r="N925" s="15"/>
      <c r="O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6"/>
      <c r="L926" s="16"/>
      <c r="M926" s="15"/>
      <c r="N926" s="15"/>
      <c r="O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6"/>
      <c r="L927" s="16"/>
      <c r="M927" s="15"/>
      <c r="N927" s="15"/>
      <c r="O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6"/>
      <c r="L928" s="16"/>
      <c r="M928" s="15"/>
      <c r="N928" s="15"/>
      <c r="O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6"/>
      <c r="L929" s="16"/>
      <c r="M929" s="15"/>
      <c r="N929" s="15"/>
      <c r="O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6"/>
      <c r="L930" s="16"/>
      <c r="M930" s="15"/>
      <c r="N930" s="15"/>
      <c r="O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6"/>
      <c r="L931" s="16"/>
      <c r="M931" s="15"/>
      <c r="N931" s="15"/>
      <c r="O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6"/>
      <c r="L932" s="16"/>
      <c r="M932" s="15"/>
      <c r="N932" s="15"/>
      <c r="O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6"/>
      <c r="L933" s="16"/>
      <c r="M933" s="15"/>
      <c r="N933" s="15"/>
      <c r="O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6"/>
      <c r="L934" s="16"/>
      <c r="M934" s="15"/>
      <c r="N934" s="15"/>
      <c r="O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6"/>
      <c r="L935" s="16"/>
      <c r="M935" s="15"/>
      <c r="N935" s="15"/>
      <c r="O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6"/>
      <c r="L936" s="16"/>
      <c r="M936" s="15"/>
      <c r="N936" s="15"/>
      <c r="O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6"/>
      <c r="L937" s="16"/>
      <c r="M937" s="15"/>
      <c r="N937" s="15"/>
      <c r="O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6"/>
      <c r="L938" s="16"/>
      <c r="M938" s="15"/>
      <c r="N938" s="15"/>
      <c r="O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6"/>
      <c r="L939" s="16"/>
      <c r="M939" s="15"/>
      <c r="N939" s="15"/>
      <c r="O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6"/>
      <c r="L940" s="16"/>
      <c r="M940" s="15"/>
      <c r="N940" s="15"/>
      <c r="O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6"/>
      <c r="L941" s="16"/>
      <c r="M941" s="15"/>
      <c r="N941" s="15"/>
      <c r="O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6"/>
      <c r="L942" s="16"/>
      <c r="M942" s="15"/>
      <c r="N942" s="15"/>
      <c r="O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6"/>
      <c r="L943" s="16"/>
      <c r="M943" s="15"/>
      <c r="N943" s="15"/>
      <c r="O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6"/>
      <c r="L944" s="16"/>
      <c r="M944" s="15"/>
      <c r="N944" s="15"/>
      <c r="O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6"/>
      <c r="L945" s="16"/>
      <c r="M945" s="15"/>
      <c r="N945" s="15"/>
      <c r="O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6"/>
      <c r="L946" s="16"/>
      <c r="M946" s="15"/>
      <c r="N946" s="15"/>
      <c r="O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6"/>
      <c r="L947" s="16"/>
      <c r="M947" s="15"/>
      <c r="N947" s="15"/>
      <c r="O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6"/>
      <c r="L948" s="16"/>
      <c r="M948" s="15"/>
      <c r="N948" s="15"/>
      <c r="O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6"/>
      <c r="L949" s="16"/>
      <c r="M949" s="15"/>
      <c r="N949" s="15"/>
      <c r="O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6"/>
      <c r="L950" s="16"/>
      <c r="M950" s="15"/>
      <c r="N950" s="15"/>
      <c r="O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6"/>
      <c r="L951" s="16"/>
      <c r="M951" s="15"/>
      <c r="N951" s="15"/>
      <c r="O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6"/>
      <c r="L952" s="16"/>
      <c r="M952" s="15"/>
      <c r="N952" s="15"/>
      <c r="O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6"/>
      <c r="L953" s="16"/>
      <c r="M953" s="15"/>
      <c r="N953" s="15"/>
      <c r="O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6"/>
      <c r="L954" s="16"/>
      <c r="M954" s="15"/>
      <c r="N954" s="15"/>
      <c r="O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6"/>
      <c r="L955" s="16"/>
      <c r="M955" s="15"/>
      <c r="N955" s="15"/>
      <c r="O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6"/>
      <c r="L956" s="16"/>
      <c r="M956" s="15"/>
      <c r="N956" s="15"/>
      <c r="O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6"/>
      <c r="L957" s="16"/>
      <c r="M957" s="15"/>
      <c r="N957" s="15"/>
      <c r="O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6"/>
      <c r="L958" s="16"/>
      <c r="M958" s="15"/>
      <c r="N958" s="15"/>
      <c r="O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6"/>
      <c r="L959" s="16"/>
      <c r="M959" s="15"/>
      <c r="N959" s="15"/>
      <c r="O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6"/>
      <c r="L960" s="16"/>
      <c r="M960" s="15"/>
      <c r="N960" s="15"/>
      <c r="O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6"/>
      <c r="L961" s="16"/>
      <c r="M961" s="15"/>
      <c r="N961" s="15"/>
      <c r="O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6"/>
      <c r="L962" s="16"/>
      <c r="M962" s="15"/>
      <c r="N962" s="15"/>
      <c r="O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6"/>
      <c r="L963" s="16"/>
      <c r="M963" s="15"/>
      <c r="N963" s="15"/>
      <c r="O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6"/>
      <c r="L964" s="16"/>
      <c r="M964" s="15"/>
      <c r="N964" s="15"/>
      <c r="O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6"/>
      <c r="L965" s="16"/>
      <c r="M965" s="15"/>
      <c r="N965" s="15"/>
      <c r="O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6"/>
      <c r="L966" s="16"/>
      <c r="M966" s="15"/>
      <c r="N966" s="15"/>
      <c r="O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6"/>
      <c r="L967" s="16"/>
      <c r="M967" s="15"/>
      <c r="N967" s="15"/>
      <c r="O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6"/>
      <c r="L968" s="16"/>
      <c r="M968" s="15"/>
      <c r="N968" s="15"/>
      <c r="O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6"/>
      <c r="L969" s="16"/>
      <c r="M969" s="15"/>
      <c r="N969" s="15"/>
      <c r="O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6"/>
      <c r="L970" s="16"/>
      <c r="M970" s="15"/>
      <c r="N970" s="15"/>
      <c r="O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6"/>
      <c r="L971" s="16"/>
      <c r="M971" s="15"/>
      <c r="N971" s="15"/>
      <c r="O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6"/>
      <c r="L972" s="16"/>
      <c r="M972" s="15"/>
      <c r="N972" s="15"/>
      <c r="O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6"/>
      <c r="L973" s="16"/>
      <c r="M973" s="15"/>
      <c r="N973" s="15"/>
      <c r="O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6"/>
      <c r="L974" s="16"/>
      <c r="M974" s="15"/>
      <c r="N974" s="15"/>
      <c r="O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6"/>
      <c r="L975" s="16"/>
      <c r="M975" s="15"/>
      <c r="N975" s="15"/>
      <c r="O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6"/>
      <c r="L976" s="16"/>
      <c r="M976" s="15"/>
      <c r="N976" s="15"/>
      <c r="O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6"/>
      <c r="L977" s="16"/>
      <c r="M977" s="15"/>
      <c r="N977" s="15"/>
      <c r="O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6"/>
      <c r="L978" s="16"/>
      <c r="M978" s="15"/>
      <c r="N978" s="15"/>
      <c r="O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6"/>
      <c r="L979" s="16"/>
      <c r="M979" s="15"/>
      <c r="N979" s="15"/>
      <c r="O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6"/>
      <c r="L980" s="16"/>
      <c r="M980" s="15"/>
      <c r="N980" s="15"/>
      <c r="O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6"/>
      <c r="L981" s="16"/>
      <c r="M981" s="15"/>
      <c r="N981" s="15"/>
      <c r="O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6"/>
      <c r="L982" s="16"/>
      <c r="M982" s="15"/>
      <c r="N982" s="15"/>
      <c r="O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6"/>
      <c r="L983" s="16"/>
      <c r="M983" s="15"/>
      <c r="N983" s="15"/>
      <c r="O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6"/>
      <c r="L984" s="16"/>
      <c r="M984" s="15"/>
      <c r="N984" s="15"/>
      <c r="O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6"/>
      <c r="L985" s="16"/>
      <c r="M985" s="15"/>
      <c r="N985" s="15"/>
      <c r="O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6"/>
      <c r="L986" s="16"/>
      <c r="M986" s="15"/>
      <c r="N986" s="15"/>
      <c r="O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6"/>
      <c r="L987" s="16"/>
      <c r="M987" s="15"/>
      <c r="N987" s="15"/>
      <c r="O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6"/>
      <c r="L988" s="16"/>
      <c r="M988" s="15"/>
      <c r="N988" s="15"/>
      <c r="O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6"/>
      <c r="L989" s="16"/>
      <c r="M989" s="15"/>
      <c r="N989" s="15"/>
      <c r="O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6"/>
      <c r="L990" s="16"/>
      <c r="M990" s="15"/>
      <c r="N990" s="15"/>
      <c r="O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6"/>
      <c r="L991" s="16"/>
      <c r="M991" s="15"/>
      <c r="N991" s="15"/>
      <c r="O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6"/>
      <c r="L992" s="16"/>
      <c r="M992" s="15"/>
      <c r="N992" s="15"/>
      <c r="O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6"/>
      <c r="L993" s="16"/>
      <c r="M993" s="15"/>
      <c r="N993" s="15"/>
      <c r="O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6"/>
      <c r="L994" s="16"/>
      <c r="M994" s="15"/>
      <c r="N994" s="15"/>
      <c r="O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6"/>
      <c r="L995" s="16"/>
      <c r="M995" s="15"/>
      <c r="N995" s="15"/>
      <c r="O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6"/>
      <c r="L996" s="16"/>
      <c r="M996" s="15"/>
      <c r="N996" s="15"/>
      <c r="O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6"/>
      <c r="L997" s="16"/>
      <c r="M997" s="15"/>
      <c r="N997" s="15"/>
      <c r="O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6"/>
      <c r="L998" s="16"/>
      <c r="M998" s="15"/>
      <c r="N998" s="15"/>
      <c r="O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6"/>
      <c r="L999" s="16"/>
      <c r="M999" s="15"/>
      <c r="N999" s="15"/>
      <c r="O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6"/>
      <c r="L1000" s="16"/>
      <c r="M1000" s="15"/>
      <c r="N1000" s="15"/>
      <c r="O1000" s="15"/>
    </row>
  </sheetData>
  <autoFilter ref="$A$2:$N$502"/>
  <mergeCells count="4">
    <mergeCell ref="B1:F1"/>
    <mergeCell ref="G1:H1"/>
    <mergeCell ref="I1:J1"/>
    <mergeCell ref="K1:M1"/>
  </mergeCells>
  <dataValidations>
    <dataValidation type="list" allowBlank="1" sqref="F3:F502">
      <formula1>"Low,Medium,High"</formula1>
    </dataValidation>
    <dataValidation type="list" allowBlank="1" showErrorMessage="1" sqref="I19">
      <formula1>"Compliance Check,Document Review,Final Approval"</formula1>
    </dataValidation>
    <dataValidation type="list" allowBlank="1" showErrorMessage="1" sqref="I3:I18 I20:I1000">
      <formula1>"Compliance Check,Document Review,Final Approval"</formula1>
    </dataValidation>
    <dataValidation type="list" allowBlank="1" showErrorMessage="1" sqref="E3:E1000">
      <formula1>"Accessories,Apparel,Bags and Luggage,Beauty and Personal Care,Footwear,Gadgets,Home and Living,Jewellery,Lingerie and Sleepwear,Sports and Activewear"</formula1>
    </dataValidation>
    <dataValidation type="list" allowBlank="1" showErrorMessage="1" sqref="N3:N1000">
      <formula1>"AT RISK,OVERDUE"</formula1>
    </dataValidation>
    <dataValidation type="list" allowBlank="1" sqref="J3:J502">
      <formula1>"Pending,Approved,Rejected"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showGridLines="0" workbookViewId="0"/>
  </sheetViews>
  <sheetFormatPr customHeight="1" defaultColWidth="12.63" defaultRowHeight="15.0"/>
  <cols>
    <col customWidth="1" min="1" max="1" width="13.63"/>
    <col customWidth="1" min="2" max="2" width="6.75"/>
    <col customWidth="1" min="3" max="3" width="8.75"/>
    <col customWidth="1" min="4" max="4" width="9.5"/>
    <col customWidth="1" min="5" max="5" width="7.5"/>
    <col customWidth="1" min="6" max="6" width="5.5"/>
    <col customWidth="1" min="7" max="7" width="8.38"/>
    <col customWidth="1" min="8" max="8" width="8.0"/>
    <col customWidth="1" min="9" max="9" width="9.0"/>
    <col customWidth="1" min="10" max="10" width="8.38"/>
    <col customWidth="1" min="11" max="11" width="7.88"/>
    <col customWidth="1" min="12" max="12" width="2.25"/>
    <col customWidth="1" min="13" max="13" width="8.63"/>
    <col customWidth="1" min="14" max="14" width="11.75"/>
    <col customWidth="1" min="15" max="15" width="9.38"/>
    <col customWidth="1" min="16" max="16" width="8.63"/>
    <col customWidth="1" min="17" max="17" width="7.63"/>
    <col customWidth="1" min="18" max="18" width="9.0"/>
    <col customWidth="1" min="19" max="19" width="7.63"/>
    <col customWidth="1" min="20" max="20" width="1.63"/>
    <col customWidth="1" min="21" max="21" width="8.88"/>
    <col customWidth="1" min="22" max="26" width="7.63"/>
  </cols>
  <sheetData>
    <row r="1" ht="38.25" customHeight="1">
      <c r="A1" s="17" t="s">
        <v>1323</v>
      </c>
      <c r="B1" s="3"/>
      <c r="C1" s="3"/>
      <c r="D1" s="3"/>
      <c r="E1" s="3"/>
      <c r="F1" s="3"/>
      <c r="G1" s="3"/>
      <c r="H1" s="3"/>
      <c r="I1" s="3"/>
      <c r="J1" s="3"/>
      <c r="K1" s="3"/>
      <c r="L1" s="18"/>
      <c r="M1" s="19" t="s">
        <v>1324</v>
      </c>
      <c r="N1" s="3"/>
      <c r="O1" s="3"/>
      <c r="P1" s="3"/>
      <c r="Q1" s="3"/>
      <c r="R1" s="3"/>
      <c r="S1" s="4"/>
      <c r="T1" s="20"/>
      <c r="U1" s="21" t="s">
        <v>1325</v>
      </c>
      <c r="V1" s="21" t="s">
        <v>1326</v>
      </c>
      <c r="W1" s="20"/>
      <c r="X1" s="20"/>
      <c r="Y1" s="20"/>
      <c r="Z1" s="20"/>
    </row>
    <row r="2" ht="52.5" customHeight="1">
      <c r="A2" s="22"/>
      <c r="B2" s="22"/>
      <c r="C2" s="22"/>
      <c r="D2" s="22"/>
      <c r="E2" s="22"/>
      <c r="F2" s="22"/>
      <c r="G2" s="22"/>
      <c r="H2" s="22"/>
      <c r="I2" s="22"/>
      <c r="J2" s="23"/>
      <c r="K2" s="22"/>
      <c r="L2" s="24"/>
      <c r="M2" s="25" t="s">
        <v>5</v>
      </c>
      <c r="N2" s="25" t="s">
        <v>1327</v>
      </c>
      <c r="O2" s="25" t="s">
        <v>39</v>
      </c>
      <c r="P2" s="25" t="s">
        <v>48</v>
      </c>
      <c r="Q2" s="25" t="s">
        <v>28</v>
      </c>
      <c r="R2" s="26" t="s">
        <v>1328</v>
      </c>
      <c r="S2" s="27" t="s">
        <v>1329</v>
      </c>
      <c r="T2" s="24"/>
      <c r="U2" s="28" t="s">
        <v>118</v>
      </c>
      <c r="V2" s="29">
        <f>COUNTIFS('Merchant Dashboard'!E3:E999,U2)</f>
        <v>57</v>
      </c>
      <c r="W2" s="24"/>
      <c r="X2" s="24"/>
      <c r="Y2" s="24"/>
      <c r="Z2" s="24"/>
    </row>
    <row r="3" ht="34.5" customHeight="1">
      <c r="A3" s="30" t="s">
        <v>1330</v>
      </c>
      <c r="B3" s="31"/>
      <c r="C3" s="32"/>
      <c r="D3" s="33" t="s">
        <v>39</v>
      </c>
      <c r="E3" s="31"/>
      <c r="F3" s="32"/>
      <c r="G3" s="34" t="s">
        <v>48</v>
      </c>
      <c r="H3" s="31"/>
      <c r="I3" s="32"/>
      <c r="J3" s="35" t="s">
        <v>28</v>
      </c>
      <c r="K3" s="31"/>
      <c r="L3" s="24"/>
      <c r="M3" s="28" t="s">
        <v>40</v>
      </c>
      <c r="N3" s="36">
        <f>COUNTIF('Merchant Dashboard'!A3:A999,M3)</f>
        <v>107</v>
      </c>
      <c r="O3" s="36">
        <f>COUNTIFS(
'Merchant Dashboard'!A3:A999,M3,
'Merchant Dashboard'!J3:J999,O2
)</f>
        <v>39</v>
      </c>
      <c r="P3" s="36">
        <f>COUNTIFS(
'Merchant Dashboard'!A3:A999,M3,
'Merchant Dashboard'!J3:J999,P2
)</f>
        <v>34</v>
      </c>
      <c r="Q3" s="36">
        <f>COUNTIFS(
'Merchant Dashboard'!A3:A999,M3,
'Merchant Dashboard'!J3:J999,Q2
)</f>
        <v>34</v>
      </c>
      <c r="R3" s="37">
        <f t="shared" ref="R3:R7" si="1">O3/N3</f>
        <v>0.3644859813</v>
      </c>
      <c r="S3" s="38">
        <f>AVERAGEIFS('Merchant Dashboard'!M3:M999, 'Merchant Dashboard'!A3:A999,M3)</f>
        <v>6.794871795</v>
      </c>
      <c r="T3" s="24"/>
      <c r="U3" s="28" t="s">
        <v>97</v>
      </c>
      <c r="V3" s="39">
        <f>COUNTIFS('Merchant Dashboard'!E3:E999,U3)</f>
        <v>56</v>
      </c>
      <c r="W3" s="24"/>
      <c r="X3" s="24"/>
      <c r="Y3" s="24"/>
      <c r="Z3" s="24"/>
    </row>
    <row r="4" ht="49.5" customHeight="1">
      <c r="A4" s="40">
        <f>COUNTA('Merchant Dashboard'!B3:B999)</f>
        <v>500</v>
      </c>
      <c r="B4" s="41"/>
      <c r="C4" s="42"/>
      <c r="D4" s="40">
        <f>COUNTIF('Merchant Dashboard'!J3:J503,"Approved")</f>
        <v>175</v>
      </c>
      <c r="E4" s="41"/>
      <c r="F4" s="42"/>
      <c r="G4" s="40">
        <f>COUNTIF('Merchant Dashboard'!J3:J999,"Rejected")</f>
        <v>171</v>
      </c>
      <c r="H4" s="41"/>
      <c r="I4" s="42"/>
      <c r="J4" s="40">
        <f>COUNTIF('Merchant Dashboard'!J3:J999,"Pending")</f>
        <v>154</v>
      </c>
      <c r="K4" s="41"/>
      <c r="L4" s="24"/>
      <c r="M4" s="28" t="s">
        <v>115</v>
      </c>
      <c r="N4" s="36">
        <f>COUNTIF('Merchant Dashboard'!A3:A999,M4)</f>
        <v>106</v>
      </c>
      <c r="O4" s="36">
        <f>COUNTIFS(
'Merchant Dashboard'!A3:A999,M4,
'Merchant Dashboard'!J3:J999,O2
)</f>
        <v>32</v>
      </c>
      <c r="P4" s="36">
        <f>COUNTIFS(
'Merchant Dashboard'!A4:A999,M4,
'Merchant Dashboard'!J4:J999,P2
)</f>
        <v>46</v>
      </c>
      <c r="Q4" s="36">
        <f>COUNTIFS(
'Merchant Dashboard'!A4:A999,M4,
'Merchant Dashboard'!J4:J999,Q2
)</f>
        <v>28</v>
      </c>
      <c r="R4" s="37">
        <f t="shared" si="1"/>
        <v>0.3018867925</v>
      </c>
      <c r="S4" s="38">
        <f>AVERAGEIFS('Merchant Dashboard'!M3:M999, 'Merchant Dashboard'!A3:A999,M4)</f>
        <v>5.8125</v>
      </c>
      <c r="T4" s="24"/>
      <c r="U4" s="28" t="s">
        <v>34</v>
      </c>
      <c r="V4" s="39">
        <f>COUNTIFS('Merchant Dashboard'!E3:E999,U4)</f>
        <v>54</v>
      </c>
      <c r="W4" s="24"/>
      <c r="X4" s="24"/>
      <c r="Y4" s="24"/>
      <c r="Z4" s="24"/>
    </row>
    <row r="5" ht="29.25" customHeight="1">
      <c r="A5" s="43"/>
      <c r="B5" s="42"/>
      <c r="C5" s="42"/>
      <c r="D5" s="42"/>
      <c r="E5" s="42"/>
      <c r="F5" s="42"/>
      <c r="G5" s="42"/>
      <c r="H5" s="42"/>
      <c r="I5" s="42"/>
      <c r="J5" s="42"/>
      <c r="K5" s="42"/>
      <c r="L5" s="24"/>
      <c r="M5" s="28" t="s">
        <v>19</v>
      </c>
      <c r="N5" s="36">
        <f>COUNTIF('Merchant Dashboard'!A4:A999,M5)</f>
        <v>95</v>
      </c>
      <c r="O5" s="36">
        <f>COUNTIFS(
'Merchant Dashboard'!A4:A999,M5,
'Merchant Dashboard'!J4:J999,"Approved"
)</f>
        <v>31</v>
      </c>
      <c r="P5" s="36">
        <f>COUNTIFS(
'Merchant Dashboard'!A5:A999,M5,
'Merchant Dashboard'!J5:J999,"Rejected"
)</f>
        <v>30</v>
      </c>
      <c r="Q5" s="36">
        <f>COUNTIFS(
'Merchant Dashboard'!A5:A999,M5,
'Merchant Dashboard'!J5:J999,Q2
)</f>
        <v>34</v>
      </c>
      <c r="R5" s="37">
        <f t="shared" si="1"/>
        <v>0.3263157895</v>
      </c>
      <c r="S5" s="38">
        <f>AVERAGEIFS('Merchant Dashboard'!M3:M999, 'Merchant Dashboard'!A3:A999,M5)</f>
        <v>6.064516129</v>
      </c>
      <c r="T5" s="24"/>
      <c r="U5" s="28" t="s">
        <v>81</v>
      </c>
      <c r="V5" s="39">
        <f>COUNTIFS('Merchant Dashboard'!E3:E999,U5)</f>
        <v>53</v>
      </c>
      <c r="W5" s="24"/>
      <c r="X5" s="24"/>
      <c r="Y5" s="24"/>
      <c r="Z5" s="24"/>
    </row>
    <row r="6" ht="42.0" customHeight="1">
      <c r="A6" s="30" t="s">
        <v>1331</v>
      </c>
      <c r="B6" s="31"/>
      <c r="C6" s="42"/>
      <c r="D6" s="44" t="s">
        <v>1332</v>
      </c>
      <c r="E6" s="31"/>
      <c r="F6" s="42"/>
      <c r="G6" s="34" t="s">
        <v>1333</v>
      </c>
      <c r="H6" s="31"/>
      <c r="I6" s="42"/>
      <c r="J6" s="34" t="s">
        <v>1334</v>
      </c>
      <c r="K6" s="31"/>
      <c r="L6" s="24"/>
      <c r="M6" s="28" t="s">
        <v>62</v>
      </c>
      <c r="N6" s="36">
        <f>COUNTIF('Merchant Dashboard'!A5:A999,M6)</f>
        <v>96</v>
      </c>
      <c r="O6" s="36">
        <f>COUNTIFS(
'Merchant Dashboard'!A5:A999,M6,
'Merchant Dashboard'!J5:J999,O2
)</f>
        <v>34</v>
      </c>
      <c r="P6" s="36">
        <f>COUNTIFS(
'Merchant Dashboard'!A6:A999,M6,
'Merchant Dashboard'!J6:J999,P2
)</f>
        <v>31</v>
      </c>
      <c r="Q6" s="36">
        <f>COUNTIFS(
'Merchant Dashboard'!A6:A999,M6,
'Merchant Dashboard'!J6:J999,"Pending"
)</f>
        <v>31</v>
      </c>
      <c r="R6" s="37">
        <f t="shared" si="1"/>
        <v>0.3541666667</v>
      </c>
      <c r="S6" s="38">
        <f>AVERAGEIFS('Merchant Dashboard'!M3:M999, 'Merchant Dashboard'!A3:A999,M6)</f>
        <v>6.441176471</v>
      </c>
      <c r="T6" s="24"/>
      <c r="U6" s="28" t="s">
        <v>71</v>
      </c>
      <c r="V6" s="39">
        <f>COUNTIFS('Merchant Dashboard'!E3:E999,U6)</f>
        <v>52</v>
      </c>
      <c r="W6" s="24"/>
      <c r="X6" s="24"/>
      <c r="Y6" s="24"/>
      <c r="Z6" s="24"/>
    </row>
    <row r="7" ht="41.25" customHeight="1">
      <c r="A7" s="45">
        <f>D4/A4</f>
        <v>0.35</v>
      </c>
      <c r="B7" s="41"/>
      <c r="C7" s="42"/>
      <c r="D7" s="46">
        <f>AVERAGE('Merchant Dashboard'!M3:M999)</f>
        <v>6.274285714</v>
      </c>
      <c r="E7" s="41"/>
      <c r="F7" s="42"/>
      <c r="G7" s="40">
        <f>COUNTIF('Merchant Dashboard'!N3:N999,"OVERDUE")</f>
        <v>161</v>
      </c>
      <c r="H7" s="41"/>
      <c r="I7" s="42"/>
      <c r="J7" s="40">
        <f>COUNTIF('Merchant Dashboard'!N3:N999,"AT RISK")</f>
        <v>86</v>
      </c>
      <c r="K7" s="41"/>
      <c r="L7" s="24"/>
      <c r="M7" s="28" t="s">
        <v>30</v>
      </c>
      <c r="N7" s="36">
        <f>COUNTIF('Merchant Dashboard'!A6:A999,M7)</f>
        <v>94</v>
      </c>
      <c r="O7" s="36">
        <f>COUNTIFS(
'Merchant Dashboard'!A6:A999,M7,
'Merchant Dashboard'!J6:J999,O2
)</f>
        <v>38</v>
      </c>
      <c r="P7" s="36">
        <f>COUNTIFS(
'Merchant Dashboard'!A7:A999,M7,
'Merchant Dashboard'!J7:J999,P2
)</f>
        <v>30</v>
      </c>
      <c r="Q7" s="36">
        <f>COUNTIFS(
'Merchant Dashboard'!A7:A999,M7,
'Merchant Dashboard'!J7:J999,Q2
)</f>
        <v>26</v>
      </c>
      <c r="R7" s="37">
        <f t="shared" si="1"/>
        <v>0.4042553191</v>
      </c>
      <c r="S7" s="38">
        <f>AVERAGEIFS('Merchant Dashboard'!M3:M999, 'Merchant Dashboard'!A3:A999,M7)</f>
        <v>6.153846154</v>
      </c>
      <c r="T7" s="24"/>
      <c r="U7" s="28" t="s">
        <v>59</v>
      </c>
      <c r="V7" s="39">
        <f>COUNTIFS('Merchant Dashboard'!E3:E999,U7)</f>
        <v>51</v>
      </c>
      <c r="W7" s="24"/>
      <c r="X7" s="24"/>
      <c r="Y7" s="24"/>
      <c r="Z7" s="24"/>
    </row>
    <row r="8" ht="20.2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8" t="s">
        <v>186</v>
      </c>
      <c r="V8" s="39">
        <f>COUNTIFS('Merchant Dashboard'!E3:E999,U8)</f>
        <v>48</v>
      </c>
      <c r="W8" s="24"/>
      <c r="X8" s="24"/>
      <c r="Y8" s="24"/>
      <c r="Z8" s="24"/>
    </row>
    <row r="9" ht="39.75" customHeight="1">
      <c r="A9" s="17" t="s">
        <v>1335</v>
      </c>
      <c r="B9" s="3"/>
      <c r="C9" s="3"/>
      <c r="D9" s="3"/>
      <c r="E9" s="4"/>
      <c r="F9" s="24"/>
      <c r="G9" s="24"/>
      <c r="H9" s="24"/>
      <c r="I9" s="24"/>
      <c r="J9" s="24"/>
      <c r="K9" s="24"/>
      <c r="L9" s="24"/>
      <c r="M9" s="47" t="s">
        <v>1336</v>
      </c>
      <c r="N9" s="47" t="s">
        <v>1337</v>
      </c>
      <c r="O9" s="47" t="s">
        <v>39</v>
      </c>
      <c r="P9" s="20"/>
      <c r="Q9" s="48" t="s">
        <v>1338</v>
      </c>
      <c r="R9" s="48" t="s">
        <v>1326</v>
      </c>
      <c r="S9" s="24"/>
      <c r="T9" s="24"/>
      <c r="U9" s="28" t="s">
        <v>52</v>
      </c>
      <c r="V9" s="39">
        <f>COUNTIFS('Merchant Dashboard'!E3:E999,U9)</f>
        <v>46</v>
      </c>
      <c r="W9" s="24"/>
      <c r="X9" s="24"/>
      <c r="Y9" s="24"/>
      <c r="Z9" s="24"/>
    </row>
    <row r="10" ht="21.75" customHeight="1">
      <c r="A10" s="25" t="s">
        <v>13</v>
      </c>
      <c r="B10" s="25" t="s">
        <v>1326</v>
      </c>
      <c r="C10" s="25" t="s">
        <v>39</v>
      </c>
      <c r="D10" s="25" t="s">
        <v>48</v>
      </c>
      <c r="E10" s="25" t="s">
        <v>28</v>
      </c>
      <c r="F10" s="24"/>
      <c r="G10" s="24"/>
      <c r="H10" s="24"/>
      <c r="I10" s="24"/>
      <c r="J10" s="24"/>
      <c r="K10" s="24"/>
      <c r="L10" s="24"/>
      <c r="M10" s="49" t="s">
        <v>1339</v>
      </c>
      <c r="N10" s="50">
        <v>20.0</v>
      </c>
      <c r="O10" s="50">
        <v>4.0</v>
      </c>
      <c r="P10" s="20"/>
      <c r="Q10" s="51" t="s">
        <v>24</v>
      </c>
      <c r="R10" s="51">
        <f>COUNTIFS('Merchant Dashboard'!F3:F999,Q10)</f>
        <v>162</v>
      </c>
      <c r="S10" s="24"/>
      <c r="T10" s="24"/>
      <c r="U10" s="24"/>
      <c r="V10" s="24"/>
      <c r="W10" s="24"/>
      <c r="X10" s="24"/>
      <c r="Y10" s="24"/>
      <c r="Z10" s="24"/>
    </row>
    <row r="11" ht="32.25" customHeight="1">
      <c r="A11" s="28" t="s">
        <v>27</v>
      </c>
      <c r="B11" s="51">
        <f>COUNTIF('Merchant Dashboard'!I3:I999,A11)</f>
        <v>168</v>
      </c>
      <c r="C11" s="51">
        <f>COUNTIFS('Merchant Dashboard'!I3:I999,A11,'Merchant Dashboard'!J3:J999,C10)</f>
        <v>59</v>
      </c>
      <c r="D11" s="51">
        <f>COUNTIFS('Merchant Dashboard'!I3:I999,A11,'Merchant Dashboard'!J3:J999,D10)</f>
        <v>53</v>
      </c>
      <c r="E11" s="51">
        <f>COUNTIFS('Merchant Dashboard'!I3:I999,A11,'Merchant Dashboard'!J3:J999,E10)</f>
        <v>56</v>
      </c>
      <c r="F11" s="24"/>
      <c r="G11" s="24"/>
      <c r="H11" s="24"/>
      <c r="I11" s="24"/>
      <c r="J11" s="24"/>
      <c r="K11" s="24"/>
      <c r="L11" s="24"/>
      <c r="M11" s="49" t="s">
        <v>1340</v>
      </c>
      <c r="N11" s="50">
        <v>251.0</v>
      </c>
      <c r="O11" s="50">
        <v>87.0</v>
      </c>
      <c r="P11" s="20"/>
      <c r="Q11" s="52" t="s">
        <v>45</v>
      </c>
      <c r="R11" s="51">
        <f>COUNTIFS('Merchant Dashboard'!F3:F999,Q11)</f>
        <v>180</v>
      </c>
      <c r="S11" s="24"/>
      <c r="T11" s="24"/>
      <c r="U11" s="24"/>
      <c r="V11" s="24"/>
      <c r="W11" s="24"/>
      <c r="X11" s="24"/>
      <c r="Y11" s="24"/>
      <c r="Z11" s="24"/>
    </row>
    <row r="12">
      <c r="A12" s="28" t="s">
        <v>38</v>
      </c>
      <c r="B12" s="51">
        <f>COUNTIF('Merchant Dashboard'!I3:I999,A12)</f>
        <v>149</v>
      </c>
      <c r="C12" s="51">
        <f>COUNTIFS('Merchant Dashboard'!I3:I999,A12,'Merchant Dashboard'!J3:J999,C10)</f>
        <v>46</v>
      </c>
      <c r="D12" s="51">
        <f>COUNTIFS('Merchant Dashboard'!I3:I999,A12,'Merchant Dashboard'!J3:J999,D10)</f>
        <v>54</v>
      </c>
      <c r="E12" s="51">
        <f>COUNTIFS('Merchant Dashboard'!I3:I999,A12,'Merchant Dashboard'!J3:J999,E10)</f>
        <v>49</v>
      </c>
      <c r="F12" s="24"/>
      <c r="G12" s="24"/>
      <c r="H12" s="24"/>
      <c r="I12" s="24"/>
      <c r="J12" s="24"/>
      <c r="K12" s="24"/>
      <c r="L12" s="24"/>
      <c r="M12" s="49" t="s">
        <v>1341</v>
      </c>
      <c r="N12" s="50">
        <v>229.0</v>
      </c>
      <c r="O12" s="50">
        <v>84.0</v>
      </c>
      <c r="P12" s="20"/>
      <c r="Q12" s="51" t="s">
        <v>35</v>
      </c>
      <c r="R12" s="51">
        <f>COUNTIFS('Merchant Dashboard'!F3:F999,Q12)</f>
        <v>158</v>
      </c>
      <c r="S12" s="24"/>
      <c r="T12" s="24"/>
      <c r="U12" s="24"/>
      <c r="V12" s="24"/>
      <c r="W12" s="24"/>
      <c r="X12" s="24"/>
      <c r="Y12" s="24"/>
      <c r="Z12" s="24"/>
    </row>
    <row r="13" ht="27.0" customHeight="1">
      <c r="A13" s="28" t="s">
        <v>55</v>
      </c>
      <c r="B13" s="51">
        <f>COUNTIF('Merchant Dashboard'!I3:I999,A13)</f>
        <v>183</v>
      </c>
      <c r="C13" s="51">
        <f>COUNTIFS('Merchant Dashboard'!I3:I999,A13,'Merchant Dashboard'!J3:J999,C10)</f>
        <v>70</v>
      </c>
      <c r="D13" s="51">
        <f>COUNTIFS('Merchant Dashboard'!I3:I999,A13,'Merchant Dashboard'!J3:J999,D10)</f>
        <v>64</v>
      </c>
      <c r="E13" s="51">
        <f>COUNTIFS('Merchant Dashboard'!I3:I999,A13,'Merchant Dashboard'!J3:J999,E10)</f>
        <v>49</v>
      </c>
      <c r="F13" s="24"/>
      <c r="G13" s="24"/>
      <c r="H13" s="24"/>
      <c r="I13" s="24"/>
      <c r="J13" s="24"/>
      <c r="K13" s="24"/>
      <c r="L13" s="24"/>
      <c r="M13" s="20"/>
      <c r="N13" s="20"/>
      <c r="O13" s="20"/>
      <c r="P13" s="20"/>
      <c r="Q13" s="20"/>
      <c r="R13" s="20"/>
      <c r="S13" s="24"/>
      <c r="T13" s="24"/>
      <c r="U13" s="24"/>
      <c r="V13" s="24"/>
      <c r="W13" s="24"/>
      <c r="X13" s="24"/>
      <c r="Y13" s="24"/>
      <c r="Z13" s="24"/>
    </row>
    <row r="14" ht="18.0" customHeight="1">
      <c r="A14" s="24"/>
      <c r="B14" s="24"/>
      <c r="C14" s="24"/>
      <c r="D14" s="24"/>
      <c r="E14" s="24"/>
      <c r="F14" s="24"/>
      <c r="G14" s="24"/>
      <c r="H14" s="24"/>
      <c r="I14" s="53"/>
      <c r="J14" s="53"/>
      <c r="K14" s="53"/>
      <c r="L14" s="53"/>
      <c r="M14" s="53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8.0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0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8.0" customHeight="1">
      <c r="A20" s="24"/>
      <c r="B20" s="24"/>
      <c r="C20" s="24"/>
      <c r="D20" s="24"/>
      <c r="E20" s="24"/>
      <c r="F20" s="24"/>
      <c r="G20" s="24"/>
      <c r="H20" s="24"/>
      <c r="I20" s="20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8.0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8.0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19">
    <mergeCell ref="J3:K3"/>
    <mergeCell ref="J4:K4"/>
    <mergeCell ref="A3:B3"/>
    <mergeCell ref="D3:E3"/>
    <mergeCell ref="A4:B4"/>
    <mergeCell ref="D4:E4"/>
    <mergeCell ref="A1:K1"/>
    <mergeCell ref="M1:S1"/>
    <mergeCell ref="G4:H4"/>
    <mergeCell ref="G3:H3"/>
    <mergeCell ref="D7:E7"/>
    <mergeCell ref="A9:E9"/>
    <mergeCell ref="G7:H7"/>
    <mergeCell ref="A6:B6"/>
    <mergeCell ref="D6:E6"/>
    <mergeCell ref="J6:K6"/>
    <mergeCell ref="A7:B7"/>
    <mergeCell ref="J7:K7"/>
    <mergeCell ref="G6:H6"/>
  </mergeCells>
  <conditionalFormatting sqref="R3:R7">
    <cfRule type="colorScale" priority="1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/>
  <pageMargins bottom="1.0" footer="0.0" header="0.0" left="0.75" right="0.75" top="1.0"/>
  <pageSetup paperSize="9" orientation="portrait"/>
  <drawing r:id="rId1"/>
</worksheet>
</file>